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ily Plan" sheetId="2" state="visible" r:id="rId4"/>
    <sheet name="Weekly Plan" sheetId="3" state="visible" r:id="rId5"/>
    <sheet name="Monthly Goals" sheetId="4" state="visible" r:id="rId6"/>
    <sheet name="Budget" sheetId="5" state="visible" r:id="rId7"/>
    <sheet name="Launch Day Hourly" sheetId="6" state="visible" r:id="rId8"/>
    <sheet name="Roles" sheetId="7" state="visible" r:id="rId9"/>
    <sheet name="Risk Register" sheetId="8" state="visible" r:id="rId10"/>
    <sheet name="Success Metrics" sheetId="9" state="visible" r:id="rId11"/>
    <sheet name="Launch Readines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<sst xmlns="http://schemas.openxmlformats.org/spreadsheetml/2006/main" count="1028" uniqueCount="653">
  <si>
    <t xml:space="preserve">JOUL - 8-Week Pre-Launch Plan</t>
  </si>
  <si>
    <t xml:space="preserve">Cambodia's room rental marketplace - MVP launch plan</t>
  </si>
  <si>
    <t xml:space="preserve">Prep Weekend</t>
  </si>
  <si>
    <t xml:space="preserve">Friday May 29 -&gt; Sunday May 31, 2026 (Week 0)</t>
  </si>
  <si>
    <t xml:space="preserve">Plan Period</t>
  </si>
  <si>
    <t xml:space="preserve">Monday, June 1, 2026 -&gt; Sunday, July 26, 2026</t>
  </si>
  <si>
    <t xml:space="preserve">Total Duration</t>
  </si>
  <si>
    <t xml:space="preserve">8 weeks (56 days) + 3 prep days</t>
  </si>
  <si>
    <t xml:space="preserve">Launch Day</t>
  </si>
  <si>
    <t xml:space="preserve">Saturday, July 25, 2026</t>
  </si>
  <si>
    <t xml:space="preserve">Strategic Window</t>
  </si>
  <si>
    <t xml:space="preserve">Catching the August-October student migration peak in Phnom Penh. Most Cambodian universities and prep programs start September-November; students arrive Aug-Oct to find housing. July 25 launch positions Joul ready when the peak begins.</t>
  </si>
  <si>
    <t xml:space="preserve">First Geography</t>
  </si>
  <si>
    <t xml:space="preserve">Phnom Penh, near universities and popular schools</t>
  </si>
  <si>
    <t xml:space="preserve">First Target University</t>
  </si>
  <si>
    <t xml:space="preserve">RUPP (Royal University of Phnom Penh) - largest student population, central location, dense rental supply around campus</t>
  </si>
  <si>
    <t xml:space="preserve">First Supply</t>
  </si>
  <si>
    <t xml:space="preserve">Landlords near Bobe's house (warm + cold outreach)</t>
  </si>
  <si>
    <t xml:space="preserve">First Demand</t>
  </si>
  <si>
    <t xml:space="preserve">Students from RUPP and nearby universities and schools</t>
  </si>
  <si>
    <t xml:space="preserve">ASSUMPTIONS TO VALIDATE</t>
  </si>
  <si>
    <t xml:space="preserve">Tech team capacity</t>
  </si>
  <si>
    <t xml:space="preserve">Plan assumes ~20-30 dev hours per week available. If less, week 1-3 tech tasks slip and we delay launch by 1 week.</t>
  </si>
  <si>
    <t xml:space="preserve">Bobe + team evening capacity</t>
  </si>
  <si>
    <t xml:space="preserve">Plan assumes 3 evenings/week + Saturday afternoon for outreach. If less, cold outreach goals reduce proportionally.</t>
  </si>
  <si>
    <t xml:space="preserve">Warm-network landlord count</t>
  </si>
  <si>
    <t xml:space="preserve">Plan assumes 5-10 warm prospects. If only 2-3, weeks 2-3 lean harder on cold outreach.</t>
  </si>
  <si>
    <t xml:space="preserve">TARGETS BY LAUNCH DAY</t>
  </si>
  <si>
    <t xml:space="preserve">Active landlord listings</t>
  </si>
  <si>
    <t xml:space="preserve">20+ (real rooms, real photos, real phone numbers)</t>
  </si>
  <si>
    <t xml:space="preserve">Registered students / engaged users</t>
  </si>
  <si>
    <t xml:space="preserve">200+ (channel members + page followers + accounts)</t>
  </si>
  <si>
    <t xml:space="preserve">Languages supported</t>
  </si>
  <si>
    <t xml:space="preserve">Khmer-first, English secondary</t>
  </si>
  <si>
    <t xml:space="preserve">Domain</t>
  </si>
  <si>
    <t xml:space="preserve">joul.kh (or chosen alternative)</t>
  </si>
  <si>
    <t xml:space="preserve">Hosting</t>
  </si>
  <si>
    <t xml:space="preserve">Production-grade with HTTPS</t>
  </si>
  <si>
    <t xml:space="preserve">Data persistence</t>
  </si>
  <si>
    <t xml:space="preserve">Firebase Firestore + Storage (demo mode disabled)</t>
  </si>
  <si>
    <t xml:space="preserve">SHEETS IN THIS WORKBOOK</t>
  </si>
  <si>
    <t xml:space="preserve">1. Overview</t>
  </si>
  <si>
    <t xml:space="preserve">This sheet</t>
  </si>
  <si>
    <t xml:space="preserve">2. Daily Plan</t>
  </si>
  <si>
    <t xml:space="preserve">All 59 days (Week 0 prep + 8 weeks) with tasks and outcomes</t>
  </si>
  <si>
    <t xml:space="preserve">3. Weekly Plan</t>
  </si>
  <si>
    <t xml:space="preserve">Week-by-week themes and milestones</t>
  </si>
  <si>
    <t xml:space="preserve">4. Monthly Goals</t>
  </si>
  <si>
    <t xml:space="preserve">June and July at a glance</t>
  </si>
  <si>
    <t xml:space="preserve">5. Budget</t>
  </si>
  <si>
    <t xml:space="preserve">Estimated spend by month and category (USD)</t>
  </si>
  <si>
    <t xml:space="preserve">6. Launch Day Hourly</t>
  </si>
  <si>
    <t xml:space="preserve">Hour-by-hour schedule for July 25</t>
  </si>
  <si>
    <t xml:space="preserve">7. Roles &amp; Responsibilities</t>
  </si>
  <si>
    <t xml:space="preserve">Who owns what + RACI legend</t>
  </si>
  <si>
    <t xml:space="preserve">8. Risk Register</t>
  </si>
  <si>
    <t xml:space="preserve">Top risks and mitigations</t>
  </si>
  <si>
    <t xml:space="preserve">9. Success Metrics</t>
  </si>
  <si>
    <t xml:space="preserve">What to track during launch week</t>
  </si>
  <si>
    <t xml:space="preserve">10. Launch Readiness</t>
  </si>
  <si>
    <t xml:space="preserve">Final go/no-go checklist</t>
  </si>
  <si>
    <t xml:space="preserve">JOUL - DAILY EXECUTION PLAN (May 29 -&gt; July 26, 2026)</t>
  </si>
  <si>
    <t xml:space="preserve">Date</t>
  </si>
  <si>
    <t xml:space="preserve">Day</t>
  </si>
  <si>
    <t xml:space="preserve">Week</t>
  </si>
  <si>
    <t xml:space="preserve">Week Theme</t>
  </si>
  <si>
    <t xml:space="preserve">Bobe's Tasks</t>
  </si>
  <si>
    <t xml:space="preserve">Tech Team's Tasks</t>
  </si>
  <si>
    <t xml:space="preserve">Daily Outcome / Done When</t>
  </si>
  <si>
    <t xml:space="preserve">Status</t>
  </si>
  <si>
    <t xml:space="preserve">May 29, 2026</t>
  </si>
  <si>
    <t xml:space="preserve">Fri</t>
  </si>
  <si>
    <t xml:space="preserve">W0</t>
  </si>
  <si>
    <t xml:space="preserve">Weekend Prep - Read, Decide, Get Ready for Monday</t>
  </si>
  <si>
    <t xml:space="preserve">Read this entire plan end to end. Print it or save it to your phone. Identify anything that doesn't match your reality and we'll adjust.</t>
  </si>
  <si>
    <t xml:space="preserve">Read the plan. Confirm Firebase setup approach. Estimate time required for week 1 deliverables.</t>
  </si>
  <si>
    <t xml:space="preserve">Both sides have read the plan. Open questions written down.</t>
  </si>
  <si>
    <t xml:space="preserve">To Do</t>
  </si>
  <si>
    <t xml:space="preserve">May 30, 2026</t>
  </si>
  <si>
    <t xml:space="preserve">Sat</t>
  </si>
  <si>
    <t xml:space="preserve">Lock the team. Who exactly is doing what? Send each team member their week 1 tasks in writing. Confirm everyone is committed.</t>
  </si>
  <si>
    <t xml:space="preserve">Set up your local dev environment to be ready for Monday. Audit current codebase for any blockers.</t>
  </si>
  <si>
    <t xml:space="preserve">Team locked. Roles confirmed. Tech ready to start.</t>
  </si>
  <si>
    <t xml:space="preserve">May 31, 2026</t>
  </si>
  <si>
    <t xml:space="preserve">Sun</t>
  </si>
  <si>
    <t xml:space="preserve">Finalize the warm-network landlord list. Aim for 10 names; if you only have 5, that's fine - we work with it. Rest tonight.</t>
  </si>
  <si>
    <t xml:space="preserve">Rest. Final prep on Sunday evening only if needed.</t>
  </si>
  <si>
    <t xml:space="preserve">Sunday: 6 PM kickoff call (30 min) to confirm Monday's start. Everyone rested.</t>
  </si>
  <si>
    <t xml:space="preserve">Jun 01, 2026</t>
  </si>
  <si>
    <t xml:space="preserve">Mon</t>
  </si>
  <si>
    <t xml:space="preserve">W1</t>
  </si>
  <si>
    <t xml:space="preserve">Foundation - Real Backend Exists, Network Mapped</t>
  </si>
  <si>
    <t xml:space="preserve">Send the warm-network landlord list to the team. Begin contacting your top 3 prospects today.</t>
  </si>
  <si>
    <t xml:space="preserve">Create the real Firebase project under an account Bobe owns. Enable Auth, Firestore, Storage services.</t>
  </si>
  <si>
    <t xml:space="preserve">Network list active. Firebase project exists with services enabled.</t>
  </si>
  <si>
    <t xml:space="preserve">Jun 02, 2026</t>
  </si>
  <si>
    <t xml:space="preserve">Tue</t>
  </si>
  <si>
    <t xml:space="preserve">Call or visit your own current landlord. Ask permission to list their building's rooms as Joul's first listings.</t>
  </si>
  <si>
    <t xml:space="preserve">Wire .env.local with real Firebase keys. Disable demo-mode fallback.</t>
  </si>
  <si>
    <t xml:space="preserve">First warm landlord confirmed. Demo mode disabled in code.</t>
  </si>
  <si>
    <t xml:space="preserve">Jun 03, 2026</t>
  </si>
  <si>
    <t xml:space="preserve">Wed</t>
  </si>
  <si>
    <t xml:space="preserve">Draft Telegram + Facebook intro messages to your 5 closest friends asking for landlord introductions.</t>
  </si>
  <si>
    <t xml:space="preserve">Migrate Room reads/writes in code from MOCK_ROOMS / localStorage to Firestore.</t>
  </si>
  <si>
    <t xml:space="preserve">Intro messages drafted. Firestore reads/writes working in staging.</t>
  </si>
  <si>
    <t xml:space="preserve">Jun 04, 2026</t>
  </si>
  <si>
    <t xml:space="preserve">Thu</t>
  </si>
  <si>
    <t xml:space="preserve">Send the intro messages. Follow up actively on any responses.</t>
  </si>
  <si>
    <t xml:space="preserve">Migrate auth flow to real Firebase (registerWithPhone, loginWithPhone using live Firebase).</t>
  </si>
  <si>
    <t xml:space="preserve">3+ warm responses received. Real auth flow working.</t>
  </si>
  <si>
    <t xml:space="preserve">Jun 05, 2026</t>
  </si>
  <si>
    <t xml:space="preserve">Schedule 2-3 warm-network landlord meetings for Saturday and Sunday.</t>
  </si>
  <si>
    <t xml:space="preserve">Deploy to a staging URL (Vercel preview or Firebase Hosting).</t>
  </si>
  <si>
    <t xml:space="preserve">Weekend meetings booked. Staging URL accessible.</t>
  </si>
  <si>
    <t xml:space="preserve">Jun 06, 2026</t>
  </si>
  <si>
    <t xml:space="preserve">Decide domain name (joul.kh vs alternative). Buy it. Lock brand color, logo, basic identity.</t>
  </si>
  <si>
    <t xml:space="preserve">Domain + DNS configuration started.</t>
  </si>
  <si>
    <t xml:space="preserve">Domain purchased. Brand identity locked.</t>
  </si>
  <si>
    <t xml:space="preserve">Jun 07, 2026</t>
  </si>
  <si>
    <t xml:space="preserve">Weekly sync 7-8pm. Review week's progress.</t>
  </si>
  <si>
    <t xml:space="preserve">Smoke test: register on device A, list a room, see it from device B.</t>
  </si>
  <si>
    <t xml:space="preserve">Week 1 complete. Real data flowing end-to-end on staging.</t>
  </si>
  <si>
    <t xml:space="preserve">Jun 08, 2026</t>
  </si>
  <si>
    <t xml:space="preserve">W2</t>
  </si>
  <si>
    <t xml:space="preserve">First Real Listings - Real Rooms on a Real Database</t>
  </si>
  <si>
    <t xml:space="preserve">Arrange first warm-network landlord visits this week (target 3-5 meetings).</t>
  </si>
  <si>
    <t xml:space="preserve">Begin Firebase Storage image upload integration.</t>
  </si>
  <si>
    <t xml:space="preserve">2-3 meetings scheduled. Image upload UI in progress.</t>
  </si>
  <si>
    <t xml:space="preserve">Jun 09, 2026</t>
  </si>
  <si>
    <t xml:space="preserve">First warm landlord meeting. Sit with them. List their room together.</t>
  </si>
  <si>
    <t xml:space="preserve">Continue image upload work. Verify auto-occupy (already implemented by Claude Code) works against staging Firestore.</t>
  </si>
  <si>
    <t xml:space="preserve">1+ real listing live with real photos.</t>
  </si>
  <si>
    <t xml:space="preserve">Jun 10, 2026</t>
  </si>
  <si>
    <t xml:space="preserve">Iterate pitch script based on first meeting. Order print of 200 pitch cards with Telegram QR.</t>
  </si>
  <si>
    <t xml:space="preserve">Test auto-occupy by manipulating lastActivityAt to 8 days ago. Verify room hides.</t>
  </si>
  <si>
    <t xml:space="preserve">Pitch v2 written. Cards on order. Auto-occupy verified.</t>
  </si>
  <si>
    <t xml:space="preserve">Jun 11, 2026</t>
  </si>
  <si>
    <t xml:space="preserve">Second warm landlord meeting.</t>
  </si>
  <si>
    <t xml:space="preserve">Firestore security rules: owner-only edit/delete on rooms; public read of available rooms.</t>
  </si>
  <si>
    <t xml:space="preserve">2+ real listings live. Security rules deployed.</t>
  </si>
  <si>
    <t xml:space="preserve">Jun 12, 2026</t>
  </si>
  <si>
    <t xml:space="preserve">Third warm landlord meeting.</t>
  </si>
  <si>
    <t xml:space="preserve">Set up Firebase Analytics (or Google Analytics). Verify events fire (room view, contact tap, signup).</t>
  </si>
  <si>
    <t xml:space="preserve">3+ real listings live. Analytics events firing in dashboard.</t>
  </si>
  <si>
    <t xml:space="preserve">Jun 13, 2026</t>
  </si>
  <si>
    <t xml:space="preserve">Photograph any rooms that need better photos. Quality-check first 3-5 listings end to end.</t>
  </si>
  <si>
    <t xml:space="preserve">Bug-fix any issues found in the first listings.</t>
  </si>
  <si>
    <t xml:space="preserve">Demo state ready. 3-5 quality listings exist.</t>
  </si>
  <si>
    <t xml:space="preserve">Jun 14, 2026</t>
  </si>
  <si>
    <t xml:space="preserve">Weekly sync. Review demo readiness. Decide: company registration timing.</t>
  </si>
  <si>
    <t xml:space="preserve">Review and finalize Firestore data model.</t>
  </si>
  <si>
    <t xml:space="preserve">Week 2 complete. Demo state confirmed ready for cold outreach.</t>
  </si>
  <si>
    <t xml:space="preserve">Jun 15, 2026</t>
  </si>
  <si>
    <t xml:space="preserve">W3</t>
  </si>
  <si>
    <t xml:space="preserve">Cold Outreach Begins - Real Strangers Say Yes</t>
  </si>
  <si>
    <t xml:space="preserve">Prepare for first cold outreach evening (Tuesday). Practice the pitch out loud 3x.</t>
  </si>
  <si>
    <t xml:space="preserve">Production deployment on real domain (joul.kh). HTTPS active.</t>
  </si>
  <si>
    <t xml:space="preserve">joul.kh live in production with real listings.</t>
  </si>
  <si>
    <t xml:space="preserve">Jun 16, 2026</t>
  </si>
  <si>
    <t xml:space="preserve">First cold outreach evening. Knock on 10 doors. Use the pitch script. Note every reaction.</t>
  </si>
  <si>
    <t xml:space="preserve">Mobile performance pass on real Android devices.</t>
  </si>
  <si>
    <t xml:space="preserve">~2 new cold landlords. Mobile Lighthouse 80+.</t>
  </si>
  <si>
    <t xml:space="preserve">Jun 17, 2026</t>
  </si>
  <si>
    <t xml:space="preserve">Iterate pitch based on Tuesday's reactions. Write down 3 things to change.</t>
  </si>
  <si>
    <t xml:space="preserve">Fix all P0/P1 bugs surfaced after deployment.</t>
  </si>
  <si>
    <t xml:space="preserve">Pitch v3. P0/P1 bug list cleared.</t>
  </si>
  <si>
    <t xml:space="preserve">Jun 18, 2026</t>
  </si>
  <si>
    <t xml:space="preserve">Second cold outreach evening. 10 doors.</t>
  </si>
  <si>
    <t xml:space="preserve">Continue bug fixes. Address any analytics gaps.</t>
  </si>
  <si>
    <t xml:space="preserve">~2 more cold landlords.</t>
  </si>
  <si>
    <t xml:space="preserve">Jun 19, 2026</t>
  </si>
  <si>
    <t xml:space="preserve">Create Joul Facebook page and Telegram channel. Post first 3 content pieces (intro, behind-the-scenes, first listing showcase).</t>
  </si>
  <si>
    <t xml:space="preserve">Lock the production deployment process. Document it.</t>
  </si>
  <si>
    <t xml:space="preserve">Social channels live with 3+ posts. Deployment runbook written.</t>
  </si>
  <si>
    <t xml:space="preserve">Jun 20, 2026</t>
  </si>
  <si>
    <t xml:space="preserve">Third cold outreach session (Saturday afternoon). 10 doors.</t>
  </si>
  <si>
    <t xml:space="preserve">Quick check on production stability. Monitor for errors.</t>
  </si>
  <si>
    <t xml:space="preserve">Jun 21, 2026</t>
  </si>
  <si>
    <t xml:space="preserve">Weekly sync. Review: total doors knocked, conversion rate, common objections. Refine script for week 4.</t>
  </si>
  <si>
    <t xml:space="preserve">Review production error logs from the week.</t>
  </si>
  <si>
    <t xml:space="preserve">Week 3 complete. Running landlord total: 9-11. Pitch v4 ready.</t>
  </si>
  <si>
    <t xml:space="preserve">Jun 22, 2026</t>
  </si>
  <si>
    <t xml:space="preserve">W4</t>
  </si>
  <si>
    <t xml:space="preserve">Mid-Point Reality Check - Honest Assessment, Course-Correct</t>
  </si>
  <si>
    <t xml:space="preserve">Continue cold outreach (10 doors).</t>
  </si>
  <si>
    <t xml:space="preserve">Implement the search filters that ship at launch (price range, area, property type).</t>
  </si>
  <si>
    <t xml:space="preserve">~2 more landlords. Filters in staging.</t>
  </si>
  <si>
    <t xml:space="preserve">Jun 23, 2026</t>
  </si>
  <si>
    <t xml:space="preserve">Reach out to the first university student services office. Request a meeting.</t>
  </si>
  <si>
    <t xml:space="preserve">Set up daily Firestore backup. Test restore procedure.</t>
  </si>
  <si>
    <t xml:space="preserve">University meeting requested. Backups running daily.</t>
  </si>
  <si>
    <t xml:space="preserve">Jun 24, 2026</t>
  </si>
  <si>
    <t xml:space="preserve">Lock the student recruitment plan: which 5 Facebook groups, which 3 Telegram channels, which 2 universities to target.</t>
  </si>
  <si>
    <t xml:space="preserve">Begin load testing with simulated 100 concurrent users.</t>
  </si>
  <si>
    <t xml:space="preserve">Student plan documented. Load test results in hand.</t>
  </si>
  <si>
    <t xml:space="preserve">Jun 25, 2026</t>
  </si>
  <si>
    <t xml:space="preserve">Cold outreach evening (10 doors).</t>
  </si>
  <si>
    <t xml:space="preserve">Address any load-testing issues.</t>
  </si>
  <si>
    <t xml:space="preserve">~2 more landlords. Load issues resolved.</t>
  </si>
  <si>
    <t xml:space="preserve">Jun 26, 2026</t>
  </si>
  <si>
    <t xml:space="preserve">Draft Terms of Service + Privacy Policy (Khmer + English, 1 page each).</t>
  </si>
  <si>
    <t xml:space="preserve">Document the deployment process so any team member can deploy.</t>
  </si>
  <si>
    <t xml:space="preserve">ToS draft v1 ready. Deployment doc complete.</t>
  </si>
  <si>
    <t xml:space="preserve">Jun 27, 2026</t>
  </si>
  <si>
    <t xml:space="preserve">Cold outreach session (Saturday afternoon, 10 doors).</t>
  </si>
  <si>
    <t xml:space="preserve">Continue load testing if needed.</t>
  </si>
  <si>
    <t xml:space="preserve">~2 more landlords.</t>
  </si>
  <si>
    <t xml:space="preserve">Jun 28, 2026</t>
  </si>
  <si>
    <t xml:space="preserve">MID-POINT REVIEW. Honest assessment: on track for July 25 launch? If below 10 landlords, course-correct now.</t>
  </si>
  <si>
    <t xml:space="preserve">Strategic review with Bobe. Identify any features that need to be cut.</t>
  </si>
  <si>
    <t xml:space="preserve">Week 4 complete. Running total: 13-15 landlords. Course-correction decisions made.</t>
  </si>
  <si>
    <t xml:space="preserve">Jun 29, 2026</t>
  </si>
  <si>
    <t xml:space="preserve">W5</t>
  </si>
  <si>
    <t xml:space="preserve">Student Side Activated - Demand Starts to Gather</t>
  </si>
  <si>
    <t xml:space="preserve">Final QA pass with 5 internal testers using real devices.</t>
  </si>
  <si>
    <t xml:space="preserve">~2 more landlords. QA report written.</t>
  </si>
  <si>
    <t xml:space="preserve">Jun 30, 2026</t>
  </si>
  <si>
    <t xml:space="preserve">Post in first 2 Phnom Penh student Facebook groups. Frame as 'free help finding rooms near your university'.</t>
  </si>
  <si>
    <t xml:space="preserve">Performance optimization: page load &lt;3s on Cambodian 4G.</t>
  </si>
  <si>
    <t xml:space="preserve">First student-side posts live. Performance target met.</t>
  </si>
  <si>
    <t xml:space="preserve">Jul 01, 2026</t>
  </si>
  <si>
    <t xml:space="preserve">Join 3 Telegram student channels. Engage organically by answering questions first. Don't spam.</t>
  </si>
  <si>
    <t xml:space="preserve">All admin tools tested end-to-end.</t>
  </si>
  <si>
    <t xml:space="preserve">Telegram engagement begun. Admin tools verified.</t>
  </si>
  <si>
    <t xml:space="preserve">Jul 02, 2026</t>
  </si>
  <si>
    <t xml:space="preserve">Visit RUPP or chosen university campus. Photograph bulletin boards. Observe student traffic. Identify flyering opportunities.</t>
  </si>
  <si>
    <t xml:space="preserve">Set up Sentry (or alternative) error monitoring.</t>
  </si>
  <si>
    <t xml:space="preserve">Campus intel gathered. Error monitoring live.</t>
  </si>
  <si>
    <t xml:space="preserve">Jul 03, 2026</t>
  </si>
  <si>
    <t xml:space="preserve">Cold outreach evening. Post in 3 more student Facebook groups.</t>
  </si>
  <si>
    <t xml:space="preserve">Address any monitoring alerts. Tighten security rules if needed.</t>
  </si>
  <si>
    <t xml:space="preserve">~2 more landlords. Student posts in 5 groups total.</t>
  </si>
  <si>
    <t xml:space="preserve">Jul 04, 2026</t>
  </si>
  <si>
    <t xml:space="preserve">Cold outreach session. Begin registering first 5 student 'early renters' personally.</t>
  </si>
  <si>
    <t xml:space="preserve">Final tech polish on Khmer language strings.</t>
  </si>
  <si>
    <t xml:space="preserve">16-18 landlords total. 5+ student accounts created.</t>
  </si>
  <si>
    <t xml:space="preserve">Jul 05, 2026</t>
  </si>
  <si>
    <t xml:space="preserve">Weekly sync. Decide exact launch date (Saturday July 25 most likely). Decide launch announcement plan in detail.</t>
  </si>
  <si>
    <t xml:space="preserve">Plan soft-launch deployment for Monday.</t>
  </si>
  <si>
    <t xml:space="preserve">Week 5 complete. Launch date locked: Saturday July 25, 2026.</t>
  </si>
  <si>
    <t xml:space="preserve">Jul 06, 2026</t>
  </si>
  <si>
    <t xml:space="preserve">W6</t>
  </si>
  <si>
    <t xml:space="preserve">Soft Launch - Real Users Find Real Problems First</t>
  </si>
  <si>
    <t xml:space="preserve">Send soft-launch invites to 30-50 trusted users (friends, family, classmates, early student contacts).</t>
  </si>
  <si>
    <t xml:space="preserve">Soft-launch mode active. Site publicly accessible but not promoted. Bug bash begins.</t>
  </si>
  <si>
    <t xml:space="preserve">30-50 invites sent. Soft-launch live.</t>
  </si>
  <si>
    <t xml:space="preserve">Jul 07, 2026</t>
  </si>
  <si>
    <t xml:space="preserve">Personal call or message with 5 soft-launch users. Walk through their experience step by step.</t>
  </si>
  <si>
    <t xml:space="preserve">Add a 'Report a problem' form to the site.</t>
  </si>
  <si>
    <t xml:space="preserve">5 user conversations documented in writing.</t>
  </si>
  <si>
    <t xml:space="preserve">Jul 08, 2026</t>
  </si>
  <si>
    <t xml:space="preserve">Personal call or message with 5 more soft-launch users.</t>
  </si>
  <si>
    <t xml:space="preserve">Bug triage on issues reported so far. Daily fix cycle begins.</t>
  </si>
  <si>
    <t xml:space="preserve">10 user conversations total. First bug fixes deployed.</t>
  </si>
  <si>
    <t xml:space="preserve">Jul 09, 2026</t>
  </si>
  <si>
    <t xml:space="preserve">Document all confusion / bugs / 'I didn't understand X' from user conversations.</t>
  </si>
  <si>
    <t xml:space="preserve">Continue urgent bug fixes.</t>
  </si>
  <si>
    <t xml:space="preserve">User feedback log complete and prioritized.</t>
  </si>
  <si>
    <t xml:space="preserve">Jul 10, 2026</t>
  </si>
  <si>
    <t xml:space="preserve">Decide with tech team: which bugs are launch blockers; which can ship as v1.1.</t>
  </si>
  <si>
    <t xml:space="preserve">Lock the launch-blocker bug list. Begin focused sprint on those.</t>
  </si>
  <si>
    <t xml:space="preserve">Launch-blocker list finalized.</t>
  </si>
  <si>
    <t xml:space="preserve">Jul 11, 2026</t>
  </si>
  <si>
    <t xml:space="preserve">Cold outreach session (10 doors). Aim for 18-20 active landlords.</t>
  </si>
  <si>
    <t xml:space="preserve">Continue fixing launch-blocker bugs.</t>
  </si>
  <si>
    <t xml:space="preserve">18-20 landlords total.</t>
  </si>
  <si>
    <t xml:space="preserve">Jul 12, 2026</t>
  </si>
  <si>
    <t xml:space="preserve">Weekly sync. GO / NO-GO decision for public launch.</t>
  </si>
  <si>
    <t xml:space="preserve">Status update on launch-blocker progress.</t>
  </si>
  <si>
    <t xml:space="preserve">Week 6 complete. GO decision confirmed (or course-correct).</t>
  </si>
  <si>
    <t xml:space="preserve">Jul 13, 2026</t>
  </si>
  <si>
    <t xml:space="preserve">W7</t>
  </si>
  <si>
    <t xml:space="preserve">Hard Launch Prep - Everything Ready, Everyone Rested</t>
  </si>
  <si>
    <t xml:space="preserve">Order final printed cards and flyers (final design with real domain and QR).</t>
  </si>
  <si>
    <t xml:space="preserve">Fix all remaining launch-blocker bugs from soft launch.</t>
  </si>
  <si>
    <t xml:space="preserve">Final materials on order. Launch blockers cleared.</t>
  </si>
  <si>
    <t xml:space="preserve">Jul 14, 2026</t>
  </si>
  <si>
    <t xml:space="preserve">Press / influencer outreach: identify 3-5 local Khmer Telegram channels or Facebook pages that might cover the launch.</t>
  </si>
  <si>
    <t xml:space="preserve">Monitoring dashboards live. Visible metrics: DAU, signups, listings, contact taps.</t>
  </si>
  <si>
    <t xml:space="preserve">Press list ready. Dashboards live.</t>
  </si>
  <si>
    <t xml:space="preserve">Jul 15, 2026</t>
  </si>
  <si>
    <t xml:space="preserve">Draft launch announcement post in Khmer (and English version).</t>
  </si>
  <si>
    <t xml:space="preserve">Disaster recovery rehearsal - simulate Firebase outage. Document recovery steps.</t>
  </si>
  <si>
    <t xml:space="preserve">Launch post ready. DR runbook tested.</t>
  </si>
  <si>
    <t xml:space="preserve">Jul 16, 2026</t>
  </si>
  <si>
    <t xml:space="preserve">30-minute call with each of the first 5 landlords confirming they're ready and excited.</t>
  </si>
  <si>
    <t xml:space="preserve">Final security review - security rules tight, no exposed API keys, rate limiting on signups.</t>
  </si>
  <si>
    <t xml:space="preserve">Landlords confirmed. Security review passed.</t>
  </si>
  <si>
    <t xml:space="preserve">Jul 17, 2026</t>
  </si>
  <si>
    <t xml:space="preserve">FINAL GO / NO-GO MEETING. Confirm launch on Saturday July 25.</t>
  </si>
  <si>
    <t xml:space="preserve">Final tech check. Confirm everything is green.</t>
  </si>
  <si>
    <t xml:space="preserve">GO decision confirmed. Launch is on.</t>
  </si>
  <si>
    <t xml:space="preserve">Jul 18, 2026</t>
  </si>
  <si>
    <t xml:space="preserve">Rest day. Light prep only. Eat well, sleep early.</t>
  </si>
  <si>
    <t xml:space="preserve">On-call only. Light monitoring.</t>
  </si>
  <si>
    <t xml:space="preserve">Team rested.</t>
  </si>
  <si>
    <t xml:space="preserve">Jul 19, 2026</t>
  </si>
  <si>
    <t xml:space="preserve">Weekly sync. Lock launch day hour-by-hour plan. Final landlord push if needed (target 22-25).</t>
  </si>
  <si>
    <t xml:space="preserve">Final deployment freeze. No more code changes until after launch.</t>
  </si>
  <si>
    <t xml:space="preserve">Week 7 complete. Running total: 22-25 landlords. Plan locked.</t>
  </si>
  <si>
    <t xml:space="preserve">Jul 20, 2026</t>
  </si>
  <si>
    <t xml:space="preserve">W8</t>
  </si>
  <si>
    <t xml:space="preserve">Public Launch - Hands On, Eyes Open, Respond Fast</t>
  </si>
  <si>
    <t xml:space="preserve">Soft pre-announcement on Telegram + Facebook: 'Joul launches this Saturday'.</t>
  </si>
  <si>
    <t xml:space="preserve">Final QA: register, login, list-room, contact-landlord all work flawlessly.</t>
  </si>
  <si>
    <t xml:space="preserve">Pre-announcement live.</t>
  </si>
  <si>
    <t xml:space="preserve">Jul 21, 2026</t>
  </si>
  <si>
    <t xml:space="preserve">Personal call to each of 20+ landlords. Confirm their listings are active and they'll respond to inquiries Saturday.</t>
  </si>
  <si>
    <t xml:space="preserve">On-call. Monitor.</t>
  </si>
  <si>
    <t xml:space="preserve">All landlords confirmed available for Saturday.</t>
  </si>
  <si>
    <t xml:space="preserve">Jul 22, 2026</t>
  </si>
  <si>
    <t xml:space="preserve">Daily content posts begin (Telegram + Facebook). Tone: friendly, local, excited but not desperate.</t>
  </si>
  <si>
    <t xml:space="preserve">Content cadence active.</t>
  </si>
  <si>
    <t xml:space="preserve">Jul 23, 2026</t>
  </si>
  <si>
    <t xml:space="preserve">Final QA pass from a fresh device with team. Test every flow.</t>
  </si>
  <si>
    <t xml:space="preserve">Final QA execution.</t>
  </si>
  <si>
    <t xml:space="preserve">Pre-launch QA pass complete.</t>
  </si>
  <si>
    <t xml:space="preserve">Jul 24, 2026</t>
  </si>
  <si>
    <t xml:space="preserve">REST DAY. Sleep early. No major work.</t>
  </si>
  <si>
    <t xml:space="preserve">On-call. Light monitoring.</t>
  </si>
  <si>
    <t xml:space="preserve">Team energized for launch day.</t>
  </si>
  <si>
    <t xml:space="preserve">Jul 25, 2026</t>
  </si>
  <si>
    <t xml:space="preserve">LAUNCH DAY. 8am systems check. 9am launch post. Monitor and respond 10am-10pm. Evening team sync.</t>
  </si>
  <si>
    <t xml:space="preserve">Live monitoring all day. Hot-fix any issues immediately.</t>
  </si>
  <si>
    <t xml:space="preserve">Launch executed. Day-one metrics captured.</t>
  </si>
  <si>
    <t xml:space="preserve">Jul 26, 2026</t>
  </si>
  <si>
    <t xml:space="preserve">Run first targeted Facebook ads to Phnom Penh students. Cold outreach to 10 more potential landlords.</t>
  </si>
  <si>
    <t xml:space="preserve">Live monitoring. Address any day-two issues.</t>
  </si>
  <si>
    <t xml:space="preserve">Momentum sustained. Week 8 complete. Launch successful.</t>
  </si>
  <si>
    <t xml:space="preserve">JOUL - WEEKLY MILESTONES</t>
  </si>
  <si>
    <t xml:space="preserve">Dates</t>
  </si>
  <si>
    <t xml:space="preserve">Theme</t>
  </si>
  <si>
    <t xml:space="preserve">Key Deliverables</t>
  </si>
  <si>
    <t xml:space="preserve">Landlord Target</t>
  </si>
  <si>
    <t xml:space="preserve">Top Risk</t>
  </si>
  <si>
    <t xml:space="preserve">Jun 1 - Jun 7</t>
  </si>
  <si>
    <t xml:space="preserve">Foundation: real backend exists, network mapped</t>
  </si>
  <si>
    <t xml:space="preserve">Real Firebase project live. Firestore data layer wired. Auth migrated. Domain purchased. Brand identity locked. Warm-network landlord list of 10+ names.</t>
  </si>
  <si>
    <t xml:space="preserve">1-3</t>
  </si>
  <si>
    <t xml:space="preserve">Firebase setup takes longer than expected</t>
  </si>
  <si>
    <t xml:space="preserve">Jun 8 - Jun 14</t>
  </si>
  <si>
    <t xml:space="preserve">First real listings on a real database</t>
  </si>
  <si>
    <t xml:space="preserve">Image upload to Firebase Storage. Auto-occupy deployed. Security rules live. Analytics firing. 3-5 real landlord listings live with photos. Pitch script v2. 200 pitch cards on order.</t>
  </si>
  <si>
    <t xml:space="preserve">3-5</t>
  </si>
  <si>
    <t xml:space="preserve">Landlord conversations take longer than 20 minutes</t>
  </si>
  <si>
    <t xml:space="preserve">Jun 15 - Jun 21</t>
  </si>
  <si>
    <t xml:space="preserve">Cold outreach begins - strangers say yes</t>
  </si>
  <si>
    <t xml:space="preserve">Production deployment on joul.kh. Mobile performance pass. Facebook page + Telegram channel created with first content. 30 doors knocked. Pitch v3 + v4.</t>
  </si>
  <si>
    <t xml:space="preserve">9-11</t>
  </si>
  <si>
    <t xml:space="preserve">Cold conversion below 1-in-5</t>
  </si>
  <si>
    <t xml:space="preserve">Jun 22 - Jun 28</t>
  </si>
  <si>
    <t xml:space="preserve">Mid-point reality check - honest assessment</t>
  </si>
  <si>
    <t xml:space="preserve">Search filters live. Daily Firestore backup. Load testing complete. ToS draft v1. Student recruitment plan locked. Mid-point go/no-go review.</t>
  </si>
  <si>
    <t xml:space="preserve">13-15</t>
  </si>
  <si>
    <t xml:space="preserve">Behind on landlord count by week 4</t>
  </si>
  <si>
    <t xml:space="preserve">Jun 29 - Jul 5</t>
  </si>
  <si>
    <t xml:space="preserve">Student side activated - demand starts to gather</t>
  </si>
  <si>
    <t xml:space="preserve">Final QA pass. Performance optimized (&lt;3s on 4G). Posts in 5 student Facebook groups. 3 Telegram channels engaged. 5+ early student renters registered. Launch date locked.</t>
  </si>
  <si>
    <t xml:space="preserve">16-18</t>
  </si>
  <si>
    <t xml:space="preserve">Student channels don't grow organically</t>
  </si>
  <si>
    <t xml:space="preserve">Jul 6 - Jul 12</t>
  </si>
  <si>
    <t xml:space="preserve">Soft launch - real users find real problems first</t>
  </si>
  <si>
    <t xml:space="preserve">Soft launch live. 30-50 invited testers. 10 personal user conversations documented. Launch-blocker bug list. Go/No-Go for public launch.</t>
  </si>
  <si>
    <t xml:space="preserve">18-20</t>
  </si>
  <si>
    <t xml:space="preserve">Critical bug requires significant rework</t>
  </si>
  <si>
    <t xml:space="preserve">Jul 13 - Jul 19</t>
  </si>
  <si>
    <t xml:space="preserve">Hard launch prep - everything ready, everyone rested</t>
  </si>
  <si>
    <t xml:space="preserve">Launch-blocker bugs fixed. Monitoring dashboards live. DR rehearsal done. Security review passed. Final printed materials in hand. Launch post written. FINAL GO/NO-GO meeting Friday.</t>
  </si>
  <si>
    <t xml:space="preserve">22-25</t>
  </si>
  <si>
    <t xml:space="preserve">Founder burnout / last-minute critical bug</t>
  </si>
  <si>
    <t xml:space="preserve">Jul 20 - Jul 26</t>
  </si>
  <si>
    <t xml:space="preserve">PUBLIC LAUNCH - hands on, eyes open, respond fast</t>
  </si>
  <si>
    <t xml:space="preserve">Pre-announcement Mon. Landlord confirmations Tue. Daily content Wed. Final QA Thu. Rest Fri. LAUNCH Saturday July 25. Sustain Sunday with paid ads + more outreach.</t>
  </si>
  <si>
    <t xml:space="preserve">25+ (launch day live)</t>
  </si>
  <si>
    <t xml:space="preserve">Launch day downtime or major UX confusion</t>
  </si>
  <si>
    <t xml:space="preserve">JOUL - MONTHLY GOALS</t>
  </si>
  <si>
    <t xml:space="preserve">JUNE 2026 (Build &amp; Seed)</t>
  </si>
  <si>
    <t xml:space="preserve">JULY 2026 (Polish &amp; Launch)</t>
  </si>
  <si>
    <t xml:space="preserve">Get the real backend live and seed the first half of the landlord network</t>
  </si>
  <si>
    <t xml:space="preserve">Polish the product, activate the student side, and execute a clean public launch</t>
  </si>
  <si>
    <t xml:space="preserve">Tech Goal</t>
  </si>
  <si>
    <t xml:space="preserve">Move from localStorage demo to Firestore + Storage. Production deployment on real domain. Auto-occupy live. Analytics firing.</t>
  </si>
  <si>
    <t xml:space="preserve">All launch-blocker bugs fixed. Monitoring dashboards live. DR tested. Security reviewed. Launch deployment frozen.</t>
  </si>
  <si>
    <t xml:space="preserve">Business Goal - Landlords</t>
  </si>
  <si>
    <t xml:space="preserve">End of June target: 13-15 active landlords (warm + cold combined).</t>
  </si>
  <si>
    <t xml:space="preserve">End of July target: 25+ active landlords by launch day. Final push in weeks 7-8.</t>
  </si>
  <si>
    <t xml:space="preserve">Business Goal - Students</t>
  </si>
  <si>
    <t xml:space="preserve">Lock the student recruitment plan in week 4. Identify universities and channels.</t>
  </si>
  <si>
    <t xml:space="preserve">Activate student-side outreach. Register first 5+ early renters. Hit 200+ engaged students by launch.</t>
  </si>
  <si>
    <t xml:space="preserve">Marketing</t>
  </si>
  <si>
    <t xml:space="preserve">Facebook page + Telegram channel created mid-month. First content cadence established.</t>
  </si>
  <si>
    <t xml:space="preserve">Launch announcement drafted. Press/influencer outreach in week 7. Public launch posts week 8.</t>
  </si>
  <si>
    <t xml:space="preserve">Operations</t>
  </si>
  <si>
    <t xml:space="preserve">Weekly Sunday sync rhythm established. Pitch script iterated 4x.</t>
  </si>
  <si>
    <t xml:space="preserve">Daily standup in launch week. Bug triage cadence. Rest days respected (Friday before launch).</t>
  </si>
  <si>
    <t xml:space="preserve">Critical Milestone</t>
  </si>
  <si>
    <t xml:space="preserve">Sun Jun 28 - Mid-point honest review. Course-correct if behind.</t>
  </si>
  <si>
    <t xml:space="preserve">Fri Jul 17 - Final Go/No-Go meeting. Sat Jul 25 - PUBLIC LAUNCH.</t>
  </si>
  <si>
    <t xml:space="preserve">If We're Behind</t>
  </si>
  <si>
    <t xml:space="preserve">Reduce launch landlord target from 20 to 15. Or push launch by 1 week.</t>
  </si>
  <si>
    <t xml:space="preserve">Identify minimal launchable feature set. Cut non-essential features to v1.1 post-launch.</t>
  </si>
  <si>
    <t xml:space="preserve">JOUL - BUDGET ESTIMATE (USD)</t>
  </si>
  <si>
    <t xml:space="preserve">Estimated pre-launch spend. Adjust to actual costs once quotes are received.</t>
  </si>
  <si>
    <t xml:space="preserve">Category</t>
  </si>
  <si>
    <t xml:space="preserve">May-June</t>
  </si>
  <si>
    <t xml:space="preserve">July</t>
  </si>
  <si>
    <t xml:space="preserve">Total</t>
  </si>
  <si>
    <t xml:space="preserve">Notes</t>
  </si>
  <si>
    <t xml:space="preserve">INFRASTRUCTURE</t>
  </si>
  <si>
    <t xml:space="preserve">Domain registration (.kh annual)</t>
  </si>
  <si>
    <t xml:space="preserve">joul.kh or alternative. Renewed annually.</t>
  </si>
  <si>
    <t xml:space="preserve">Firebase hosting + Firestore (Spark/Blaze)</t>
  </si>
  <si>
    <t xml:space="preserve">Free tier should cover MVP. Blaze plan ~$5/mo if exceeded.</t>
  </si>
  <si>
    <t xml:space="preserve">Firebase Storage (images)</t>
  </si>
  <si>
    <t xml:space="preserve">Free tier handles ~5GB. Budget for overflow.</t>
  </si>
  <si>
    <t xml:space="preserve">Error monitoring (Sentry free tier)</t>
  </si>
  <si>
    <t xml:space="preserve">Free tier sufficient for MVP traffic.</t>
  </si>
  <si>
    <t xml:space="preserve">MARKETING + OUTREACH</t>
  </si>
  <si>
    <t xml:space="preserve">Printed pitch cards (A6 + Telegram QR)</t>
  </si>
  <si>
    <t xml:space="preserve">200 cards initial print + 100 reprint in July.</t>
  </si>
  <si>
    <t xml:space="preserve">Printed flyers for campus / dorms</t>
  </si>
  <si>
    <t xml:space="preserve">200 A6 flyers for student-side outreach.</t>
  </si>
  <si>
    <t xml:space="preserve">Facebook ads (student targeting)</t>
  </si>
  <si>
    <t xml:space="preserve">Test budget Jul 5-25. Phnom Penh student demographic.</t>
  </si>
  <si>
    <t xml:space="preserve">Telegram channel boost (if needed)</t>
  </si>
  <si>
    <t xml:space="preserve">Optional. Only if organic growth stalls.</t>
  </si>
  <si>
    <t xml:space="preserve">Press / influencer outreach (gifts)</t>
  </si>
  <si>
    <t xml:space="preserve">Small gestures for local Telegram channel admins.</t>
  </si>
  <si>
    <t xml:space="preserve">LEGAL + ADMIN</t>
  </si>
  <si>
    <t xml:space="preserve">Local lawyer review (ToS / Privacy)</t>
  </si>
  <si>
    <t xml:space="preserve">Cambodian lawyer, 1-hour consultation. Recommended.</t>
  </si>
  <si>
    <t xml:space="preserve">Company registration (if you decide to register)</t>
  </si>
  <si>
    <t xml:space="preserve">Optional pre-launch. Can defer to post-traction.</t>
  </si>
  <si>
    <t xml:space="preserve">CONTINGENCY</t>
  </si>
  <si>
    <t xml:space="preserve">Buffer for unexpected (10%)</t>
  </si>
  <si>
    <t xml:space="preserve">Phone bills, transport for outreach, food during launch day.</t>
  </si>
  <si>
    <t xml:space="preserve">TOTAL</t>
  </si>
  <si>
    <t xml:space="preserve">Notes:</t>
  </si>
  <si>
    <t xml:space="preserve">- All figures are estimates. Actual costs depend on Cambodian market rates and your specific choices.</t>
  </si>
  <si>
    <t xml:space="preserve">- This budget assumes lean execution: founders self-fund, no salaried hires, free tier services maximally used.</t>
  </si>
  <si>
    <t xml:space="preserve">- If you decide to apply for grants (Smart Axiata SmartStart, Khmer Enterprise, Techo Startup Center), do that in parallel.</t>
  </si>
  <si>
    <t xml:space="preserve">JOUL - LAUNCH DAY: SATURDAY, JULY 25, 2026</t>
  </si>
  <si>
    <t xml:space="preserve">Hour-by-hour execution. Adjust to your team's actual roles.</t>
  </si>
  <si>
    <t xml:space="preserve">Time</t>
  </si>
  <si>
    <t xml:space="preserve">Action</t>
  </si>
  <si>
    <t xml:space="preserve">Owner</t>
  </si>
  <si>
    <t xml:space="preserve">7:00 AM</t>
  </si>
  <si>
    <t xml:space="preserve">Wake up. Light breakfast. Confirm internet stable.</t>
  </si>
  <si>
    <t xml:space="preserve">Everyone</t>
  </si>
  <si>
    <t xml:space="preserve">8:00 AM</t>
  </si>
  <si>
    <t xml:space="preserve">Tech team systems check: Firebase, Firestore, Storage, domain, HTTPS. All green.</t>
  </si>
  <si>
    <t xml:space="preserve">Tech Team</t>
  </si>
  <si>
    <t xml:space="preserve">8:30 AM</t>
  </si>
  <si>
    <t xml:space="preserve">Bobe walks through a full user flow on a fresh device. Sign up. List a room. Contact a landlord.</t>
  </si>
  <si>
    <t xml:space="preserve">Bobe</t>
  </si>
  <si>
    <t xml:space="preserve">8:45 AM</t>
  </si>
  <si>
    <t xml:space="preserve">Final sanity check on landlord listings - all live, all set to Available.</t>
  </si>
  <si>
    <t xml:space="preserve">9:00 AM</t>
  </si>
  <si>
    <t xml:space="preserve">LAUNCH POST live on Facebook page and Telegram channel. Bobe's personal accounts also post.</t>
  </si>
  <si>
    <t xml:space="preserve">9:05 AM</t>
  </si>
  <si>
    <t xml:space="preserve">Pre-arranged friends and supporters share the launch post on their personal accounts.</t>
  </si>
  <si>
    <t xml:space="preserve">Supporters</t>
  </si>
  <si>
    <t xml:space="preserve">9:30 AM</t>
  </si>
  <si>
    <t xml:space="preserve">First metrics check - site uptime, page load, signups in last 30 min.</t>
  </si>
  <si>
    <t xml:space="preserve">10:00 AM</t>
  </si>
  <si>
    <t xml:space="preserve">First wave of organic traffic expected. Monitor inbound questions in Telegram channel.</t>
  </si>
  <si>
    <t xml:space="preserve">10:30 AM</t>
  </si>
  <si>
    <t xml:space="preserve">Respond to first inquiries within 30 minutes each. Note common questions.</t>
  </si>
  <si>
    <t xml:space="preserve">11:00 AM</t>
  </si>
  <si>
    <t xml:space="preserve">Mid-morning sync (15 min). What's working? What's breaking?</t>
  </si>
  <si>
    <t xml:space="preserve">12:00 PM</t>
  </si>
  <si>
    <t xml:space="preserve">Lunch break (rotating). Someone always on duty monitoring.</t>
  </si>
  <si>
    <t xml:space="preserve">1:00 PM</t>
  </si>
  <si>
    <t xml:space="preserve">Afternoon push - share launch post in 5 Phnom Penh student Facebook groups.</t>
  </si>
  <si>
    <t xml:space="preserve">2:00 PM</t>
  </si>
  <si>
    <t xml:space="preserve">Daily metrics snapshot - record DAU, signups, listings, contact taps so far.</t>
  </si>
  <si>
    <t xml:space="preserve">3:00 PM</t>
  </si>
  <si>
    <t xml:space="preserve">Personally message 5 landlords asking 'any inquiries today?'</t>
  </si>
  <si>
    <t xml:space="preserve">4:00 PM</t>
  </si>
  <si>
    <t xml:space="preserve">Mid-afternoon sync. Triage any bugs reported.</t>
  </si>
  <si>
    <t xml:space="preserve">5:00 PM</t>
  </si>
  <si>
    <t xml:space="preserve">Light dinner. Energy management matters today.</t>
  </si>
  <si>
    <t xml:space="preserve">6:00 PM</t>
  </si>
  <si>
    <t xml:space="preserve">Evening push - Telegram broadcast + Facebook post update on launch numbers.</t>
  </si>
  <si>
    <t xml:space="preserve">7:00 PM</t>
  </si>
  <si>
    <t xml:space="preserve">Respond to any backlog of inquiries.</t>
  </si>
  <si>
    <t xml:space="preserve">8:00 PM</t>
  </si>
  <si>
    <t xml:space="preserve">Hot-fix any critical bugs identified during the day.</t>
  </si>
  <si>
    <t xml:space="preserve">9:00 PM</t>
  </si>
  <si>
    <t xml:space="preserve">End-of-day metrics snapshot. Capture for Sunday review.</t>
  </si>
  <si>
    <t xml:space="preserve">10:00 PM</t>
  </si>
  <si>
    <t xml:space="preserve">Day-one team sync (30 min). What worked? What broke? Priority for tomorrow.</t>
  </si>
  <si>
    <t xml:space="preserve">10:30 PM</t>
  </si>
  <si>
    <t xml:space="preserve">Sleep. Tomorrow is half of the launch weekend.</t>
  </si>
  <si>
    <t xml:space="preserve">JOUL - ROLES &amp; RESPONSIBILITIES</t>
  </si>
  <si>
    <t xml:space="preserve">Legend: Lead = primary owner, makes the decision and the time   |   Support = assists the Lead   |   Input = consulted but not on the hook   |   Both = jointly accountable</t>
  </si>
  <si>
    <t xml:space="preserve">Activity</t>
  </si>
  <si>
    <t xml:space="preserve">Shared</t>
  </si>
  <si>
    <t xml:space="preserve">Product vision and roadmap</t>
  </si>
  <si>
    <t xml:space="preserve">Lead</t>
  </si>
  <si>
    <t xml:space="preserve">Input</t>
  </si>
  <si>
    <t xml:space="preserve">Backend architecture (Firebase setup, security rules)</t>
  </si>
  <si>
    <t xml:space="preserve">Frontend code and UI components</t>
  </si>
  <si>
    <t xml:space="preserve">Database / data model decisions</t>
  </si>
  <si>
    <t xml:space="preserve">Hosting, deployment, infrastructure</t>
  </si>
  <si>
    <t xml:space="preserve">Bug fixing and QA</t>
  </si>
  <si>
    <t xml:space="preserve">Support</t>
  </si>
  <si>
    <t xml:space="preserve">Brand identity (logo, colors, copy)</t>
  </si>
  <si>
    <t xml:space="preserve">Pitch script (landlord-facing)</t>
  </si>
  <si>
    <t xml:space="preserve">Warm-network landlord outreach</t>
  </si>
  <si>
    <t xml:space="preserve">Cold-door landlord outreach</t>
  </si>
  <si>
    <t xml:space="preserve">Student-side recruitment (Facebook, Telegram, university)</t>
  </si>
  <si>
    <t xml:space="preserve">Content creation (Facebook page, Telegram channel posts)</t>
  </si>
  <si>
    <t xml:space="preserve">Customer support / user inquiries</t>
  </si>
  <si>
    <t xml:space="preserve">Analytics setup</t>
  </si>
  <si>
    <t xml:space="preserve">Analytics review and decisions</t>
  </si>
  <si>
    <t xml:space="preserve">Terms of Service / Privacy Policy</t>
  </si>
  <si>
    <t xml:space="preserve">Company registration / legal</t>
  </si>
  <si>
    <t xml:space="preserve">Weekly Sunday sync facilitation</t>
  </si>
  <si>
    <t xml:space="preserve">Both</t>
  </si>
  <si>
    <t xml:space="preserve">Mid-week Wednesday check-in</t>
  </si>
  <si>
    <t xml:space="preserve">Mid-point review (June 28)</t>
  </si>
  <si>
    <t xml:space="preserve">Soft launch user testing</t>
  </si>
  <si>
    <t xml:space="preserve">Go/No-Go decisions (July 12, July 17)</t>
  </si>
  <si>
    <t xml:space="preserve">Launch day execution</t>
  </si>
  <si>
    <t xml:space="preserve">Daily standup in launch week</t>
  </si>
  <si>
    <t xml:space="preserve">Post-launch retro</t>
  </si>
  <si>
    <t xml:space="preserve">JOUL - RISK REGISTER</t>
  </si>
  <si>
    <t xml:space="preserve">#</t>
  </si>
  <si>
    <t xml:space="preserve">Risk</t>
  </si>
  <si>
    <t xml:space="preserve">Likelihood</t>
  </si>
  <si>
    <t xml:space="preserve">Impact</t>
  </si>
  <si>
    <t xml:space="preserve">Mitigation</t>
  </si>
  <si>
    <t xml:space="preserve">Firebase migration takes longer than estimated, slipping the tech timeline by 1-2 weeks</t>
  </si>
  <si>
    <t xml:space="preserve">Medium</t>
  </si>
  <si>
    <t xml:space="preserve">High</t>
  </si>
  <si>
    <t xml:space="preserve">Tech team starts in week 1, not week 2. Buffer built into week 2. Daily progress check during week 1.</t>
  </si>
  <si>
    <t xml:space="preserve">Cold landlord conversion below 1-in-5 - pitch isn't landing with strangers</t>
  </si>
  <si>
    <t xml:space="preserve">Pitch iteration every week based on real reactions. Role-play with team. If hit week 4 below 10 landlords, change geography or tactics.</t>
  </si>
  <si>
    <t xml:space="preserve">Student channels don't grow organically - supply gathered but no demand</t>
  </si>
  <si>
    <t xml:space="preserve">Start social/Telegram in week 3 (not week 5). Be ready to invest in paid Facebook ads if organic isn't working by week 5.</t>
  </si>
  <si>
    <t xml:space="preserve">Critical bug surfaces during soft launch requiring significant rework</t>
  </si>
  <si>
    <t xml:space="preserve">Build a hot-fix process in week 6. Don't promise instant fixes - promise transparency. Be willing to delay launch by 1 week rather than launch broken.</t>
  </si>
  <si>
    <t xml:space="preserve">Founder / team burnout in the final 2 weeks</t>
  </si>
  <si>
    <t xml:space="preserve">Respect the weekly sync rhythm. Take Saturday off after Friday cold-outreach evenings. Mandatory rest day on Friday July 24. Eat real meals. Sleep early. Burnout has killed more startups than competition - treat rest as a deliverable.</t>
  </si>
  <si>
    <t xml:space="preserve">Landlord drops out at the last minute (changes mind, sells building, etc.)</t>
  </si>
  <si>
    <t xml:space="preserve">Build a waitlist of 5 backup landlords. Target 22-25 active by week 7 (above the 20 minimum). Don't depend on any single landlord.</t>
  </si>
  <si>
    <t xml:space="preserve">Launch day downtime or major performance issue</t>
  </si>
  <si>
    <t xml:space="preserve">Low</t>
  </si>
  <si>
    <t xml:space="preserve">Disaster recovery rehearsal in week 7. Monitoring dashboards live. Tech team on standby all launch day. Hot-fix process ready.</t>
  </si>
  <si>
    <t xml:space="preserve">Mid-point review reveals we're significantly behind schedule</t>
  </si>
  <si>
    <t xml:space="preserve">Honest review on Sun June 28. Be willing to reduce scope (launch target 15 instead of 20) or delay launch by 1 week. Don't pretend we're on track if we're not.</t>
  </si>
  <si>
    <t xml:space="preserve">Scam or fraudulent listings damage early trust</t>
  </si>
  <si>
    <t xml:space="preserve">Manual review of all listings in weeks 1-4. User reporting mechanism. Landlord phone verification on signup.</t>
  </si>
  <si>
    <t xml:space="preserve">Competitor copies the platform after seeing it work</t>
  </si>
  <si>
    <t xml:space="preserve">Speed of execution is our defense. Build supply density per district. Lock multi-listing landlords in early so switching is painful.</t>
  </si>
  <si>
    <t xml:space="preserve">Tech team becomes unavailable / capacity issue</t>
  </si>
  <si>
    <t xml:space="preserve">Document deployment process in week 3. Backup engineering contact identified. Don't depend on any single team member.</t>
  </si>
  <si>
    <t xml:space="preserve">Photos and listing quality are poor across the platform - bad first impression</t>
  </si>
  <si>
    <t xml:space="preserve">Bobe personally photographs rooms in weeks 1-2. Manual quality review of every listing before launch. Set a minimum bar: 3+ photos, complete description, valid phone.</t>
  </si>
  <si>
    <t xml:space="preserve">Rainy season disrupts door-to-door outreach (June-September is rainy in Cambodia)</t>
  </si>
  <si>
    <t xml:space="preserve">Build a rain backup plan: when it rains, switch from cold doors to phone-based outreach (call landlords from your warm list), Telegram/Facebook prospecting, or content creation. Don't lose the evening entirely.</t>
  </si>
  <si>
    <t xml:space="preserve">Bobe's network turns out to be smaller than expected (under 5 warm landlords)</t>
  </si>
  <si>
    <t xml:space="preserve">Plan B: shift cold outreach to start in week 2 instead of week 3. Lower expectations slightly. Use the soft launch crew (friends/family) as your first 5-10 'demo content' rooms even if they aren't real landlords.</t>
  </si>
  <si>
    <t xml:space="preserve">JOUL - SUCCESS METRICS</t>
  </si>
  <si>
    <t xml:space="preserve">What to track. Update daily during launch week, weekly otherwise.</t>
  </si>
  <si>
    <t xml:space="preserve">Metric</t>
  </si>
  <si>
    <t xml:space="preserve">Target by Launch (Jul 25)</t>
  </si>
  <si>
    <t xml:space="preserve">Target Day 30 (Aug 24)</t>
  </si>
  <si>
    <t xml:space="preserve">How to Track</t>
  </si>
  <si>
    <t xml:space="preserve">20+</t>
  </si>
  <si>
    <t xml:space="preserve">50+</t>
  </si>
  <si>
    <t xml:space="preserve">Firestore count of rooms with status=Available</t>
  </si>
  <si>
    <t xml:space="preserve">Total registered users</t>
  </si>
  <si>
    <t xml:space="preserve">100+</t>
  </si>
  <si>
    <t xml:space="preserve">1,000+</t>
  </si>
  <si>
    <t xml:space="preserve">Firebase Auth user count</t>
  </si>
  <si>
    <t xml:space="preserve">Telegram channel members</t>
  </si>
  <si>
    <t xml:space="preserve">500+</t>
  </si>
  <si>
    <t xml:space="preserve">Telegram channel subscriber count</t>
  </si>
  <si>
    <t xml:space="preserve">Facebook page followers</t>
  </si>
  <si>
    <t xml:space="preserve">Facebook page insights</t>
  </si>
  <si>
    <t xml:space="preserve">Daily active users (DAU)</t>
  </si>
  <si>
    <t xml:space="preserve">50+ on launch day</t>
  </si>
  <si>
    <t xml:space="preserve">200+ daily average</t>
  </si>
  <si>
    <t xml:space="preserve">Firebase/GA Analytics</t>
  </si>
  <si>
    <t xml:space="preserve">Listings viewed per day</t>
  </si>
  <si>
    <t xml:space="preserve">200+ on launch day</t>
  </si>
  <si>
    <t xml:space="preserve">1,000+ daily</t>
  </si>
  <si>
    <t xml:space="preserve">Analytics - room_view event</t>
  </si>
  <si>
    <t xml:space="preserve">Contact button taps per day</t>
  </si>
  <si>
    <t xml:space="preserve">20+ on launch day</t>
  </si>
  <si>
    <t xml:space="preserve">100+ daily</t>
  </si>
  <si>
    <t xml:space="preserve">Analytics - contact_tap event</t>
  </si>
  <si>
    <t xml:space="preserve">Estimated rentals (via follow-up)</t>
  </si>
  <si>
    <t xml:space="preserve">5+ by Aug 24</t>
  </si>
  <si>
    <t xml:space="preserve">20+ by Aug 24</t>
  </si>
  <si>
    <t xml:space="preserve">Manual: monthly phone survey of users</t>
  </si>
  <si>
    <t xml:space="preserve">Site uptime</t>
  </si>
  <si>
    <t xml:space="preserve">99.5%+</t>
  </si>
  <si>
    <t xml:space="preserve">Monitoring dashboard</t>
  </si>
  <si>
    <t xml:space="preserve">Median page load (mobile 4G)</t>
  </si>
  <si>
    <t xml:space="preserve">Under 3 seconds</t>
  </si>
  <si>
    <t xml:space="preserve">Under 2 seconds</t>
  </si>
  <si>
    <t xml:space="preserve">Lighthouse or analytics</t>
  </si>
  <si>
    <t xml:space="preserve">Bugs reported per week</t>
  </si>
  <si>
    <t xml:space="preserve">Under 5</t>
  </si>
  <si>
    <t xml:space="preserve">Under 2</t>
  </si>
  <si>
    <t xml:space="preserve">Report-a-problem form submissions</t>
  </si>
  <si>
    <t xml:space="preserve">Pitch conversion rate (cold)</t>
  </si>
  <si>
    <t xml:space="preserve">1 in 5 doors</t>
  </si>
  <si>
    <t xml:space="preserve">1 in 4 doors</t>
  </si>
  <si>
    <t xml:space="preserve">Tally during outreach evenings</t>
  </si>
  <si>
    <t xml:space="preserve">JOUL - LAUNCH READINESS CHECKLIST</t>
  </si>
  <si>
    <t xml:space="preserve">Every item must be checked before public launch on Saturday July 25, 2026</t>
  </si>
  <si>
    <t xml:space="preserve">Requirement</t>
  </si>
  <si>
    <t xml:space="preserve">Owner / Note</t>
  </si>
  <si>
    <t xml:space="preserve">TECH</t>
  </si>
  <si>
    <t xml:space="preserve">Joul running on real domain (joul.kh) with HTTPS</t>
  </si>
  <si>
    <t xml:space="preserve">[ ] Not yet</t>
  </si>
  <si>
    <t xml:space="preserve">Firebase Firestore is the live data layer for rooms and users</t>
  </si>
  <si>
    <t xml:space="preserve">Firebase Storage handles all image uploads</t>
  </si>
  <si>
    <t xml:space="preserve">Demo-mode localStorage fallback is disabled in production</t>
  </si>
  <si>
    <t xml:space="preserve">Auto-occupy feature tested end-to-end</t>
  </si>
  <si>
    <t xml:space="preserve">Auth flow tested with real Firebase users from multiple devices</t>
  </si>
  <si>
    <t xml:space="preserve">Firestore security rules deployed: owner-only write, public read of Available</t>
  </si>
  <si>
    <t xml:space="preserve">Daily Firestore backup running and tested with a restore</t>
  </si>
  <si>
    <t xml:space="preserve">Production monitoring dashboards live (DAU, signups, listings, errors)</t>
  </si>
  <si>
    <t xml:space="preserve">Error monitoring (Sentry or equivalent) reporting in real time</t>
  </si>
  <si>
    <t xml:space="preserve">Page load under 3 seconds on Cambodian 4G (tested on real device)</t>
  </si>
  <si>
    <t xml:space="preserve">Mobile Lighthouse score 80+</t>
  </si>
  <si>
    <t xml:space="preserve">No exposed API keys in client code</t>
  </si>
  <si>
    <t xml:space="preserve">Rate limiting on signup to prevent spam</t>
  </si>
  <si>
    <t xml:space="preserve">Deployment process documented (any team member can deploy)</t>
  </si>
  <si>
    <t xml:space="preserve">BUSINESS</t>
  </si>
  <si>
    <t xml:space="preserve">20+ active landlord listings (real rooms, real photos, real phone numbers)</t>
  </si>
  <si>
    <t xml:space="preserve">Each listing has 3+ photos, complete description in Khmer, valid contact</t>
  </si>
  <si>
    <t xml:space="preserve">200+ engaged students (channel members + page followers + accounts)</t>
  </si>
  <si>
    <t xml:space="preserve">Khmer UI confirmed by 5+ native testers</t>
  </si>
  <si>
    <t xml:space="preserve">Telegram channel has 4+ weeks of content history</t>
  </si>
  <si>
    <t xml:space="preserve">Facebook page has 4+ weeks of content history</t>
  </si>
  <si>
    <t xml:space="preserve">Pitch script v4+ tested in the field</t>
  </si>
  <si>
    <t xml:space="preserve">200+ pitch cards printed and ready</t>
  </si>
  <si>
    <t xml:space="preserve">Launch announcement post written (Khmer + English) and scheduled</t>
  </si>
  <si>
    <t xml:space="preserve">Press / influencer list ready (3-5 contacts)</t>
  </si>
  <si>
    <t xml:space="preserve">OPERATIONS / LEGAL</t>
  </si>
  <si>
    <t xml:space="preserve">Terms of Service live on the site (Khmer + English), reviewed by a local Cambodian lawyer</t>
  </si>
  <si>
    <t xml:space="preserve">Privacy Policy live on the site (Khmer + English), reviewed by a local Cambodian lawyer</t>
  </si>
  <si>
    <t xml:space="preserve">Incident response plan written (who to call when something breaks)</t>
  </si>
  <si>
    <t xml:space="preserve">Hot-fix process documented</t>
  </si>
  <si>
    <t xml:space="preserve">Backup landlords identified (5 waitlist)</t>
  </si>
  <si>
    <t xml:space="preserve">Team rest day (Friday July 24) confirmed</t>
  </si>
  <si>
    <t xml:space="preserve">Launch day hourly plan locked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</si>
</sst>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9C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D9D9D9"/>
        <bgColor rgb="FFE1D5E7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DEEBF7"/>
      </patternFill>
    </fill>
    <fill>
      <patternFill patternType="solid">
        <fgColor rgb="FFDEEBF7"/>
        <bgColor rgb="FFE2EFDA"/>
      </patternFill>
    </fill>
    <fill>
      <patternFill patternType="solid">
        <fgColor rgb="FFFBE5D6"/>
        <bgColor rgb="FFFFF2CC"/>
      </patternFill>
    </fill>
    <fill>
      <patternFill patternType="solid">
        <fgColor rgb="FFE1D5E7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D9D9D9"/>
      </patternFill>
    </fill>
    <fill>
      <patternFill patternType="solid">
        <fgColor rgb="FFF4CCCC"/>
        <bgColor rgb="FFE1D5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E699"/>
      <rgbColor rgb="FFC6E0B4"/>
      <rgbColor rgb="FFFBE5D6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30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46.2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23.8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4" customFormat="false" ht="15" hidden="false" customHeight="true" outlineLevel="0" collapsed="false">
      <c r="A14" s="5" t="s">
        <v>20</v>
      </c>
      <c r="B14" s="5"/>
    </row>
    <row r="15" customFormat="false" ht="23.85" hidden="false" customHeight="false" outlineLevel="0" collapsed="false">
      <c r="A15" s="3" t="s">
        <v>21</v>
      </c>
      <c r="B15" s="4" t="s">
        <v>22</v>
      </c>
    </row>
    <row r="16" customFormat="false" ht="23.85" hidden="false" customHeight="false" outlineLevel="0" collapsed="false">
      <c r="A16" s="3" t="s">
        <v>23</v>
      </c>
      <c r="B16" s="4" t="s">
        <v>24</v>
      </c>
    </row>
    <row r="17" customFormat="false" ht="23.85" hidden="false" customHeight="false" outlineLevel="0" collapsed="false">
      <c r="A17" s="3" t="s">
        <v>25</v>
      </c>
      <c r="B17" s="4" t="s">
        <v>26</v>
      </c>
    </row>
    <row r="19" customFormat="false" ht="15" hidden="false" customHeight="true" outlineLevel="0" collapsed="false">
      <c r="A19" s="5" t="s">
        <v>27</v>
      </c>
      <c r="B19" s="5"/>
    </row>
    <row r="20" customFormat="false" ht="15" hidden="false" customHeight="false" outlineLevel="0" collapsed="false">
      <c r="A20" s="3" t="s">
        <v>28</v>
      </c>
      <c r="B20" s="4" t="s">
        <v>29</v>
      </c>
    </row>
    <row r="21" customFormat="false" ht="23.85" hidden="false" customHeight="false" outlineLevel="0" collapsed="false">
      <c r="A21" s="3" t="s">
        <v>30</v>
      </c>
      <c r="B21" s="4" t="s">
        <v>31</v>
      </c>
    </row>
    <row r="22" customFormat="false" ht="15" hidden="false" customHeight="false" outlineLevel="0" collapsed="false">
      <c r="A22" s="3" t="s">
        <v>32</v>
      </c>
      <c r="B22" s="4" t="s">
        <v>33</v>
      </c>
    </row>
    <row r="23" customFormat="false" ht="15" hidden="false" customHeight="false" outlineLevel="0" collapsed="false">
      <c r="A23" s="3" t="s">
        <v>34</v>
      </c>
      <c r="B23" s="4" t="s">
        <v>35</v>
      </c>
    </row>
    <row r="24" customFormat="false" ht="15" hidden="false" customHeight="false" outlineLevel="0" collapsed="false">
      <c r="A24" s="3" t="s">
        <v>36</v>
      </c>
      <c r="B24" s="4" t="s">
        <v>37</v>
      </c>
    </row>
    <row r="25" customFormat="false" ht="15" hidden="false" customHeight="false" outlineLevel="0" collapsed="false">
      <c r="A25" s="3" t="s">
        <v>38</v>
      </c>
      <c r="B25" s="4" t="s">
        <v>39</v>
      </c>
    </row>
    <row r="27" customFormat="false" ht="15" hidden="false" customHeight="true" outlineLevel="0" collapsed="false">
      <c r="A27" s="5" t="s">
        <v>40</v>
      </c>
      <c r="B27" s="5"/>
    </row>
    <row r="28" customFormat="false" ht="15" hidden="false" customHeight="false" outlineLevel="0" collapsed="false">
      <c r="A28" s="3" t="s">
        <v>41</v>
      </c>
      <c r="B28" s="4" t="s">
        <v>42</v>
      </c>
    </row>
    <row r="29" customFormat="false" ht="15" hidden="false" customHeight="false" outlineLevel="0" collapsed="false">
      <c r="A29" s="3" t="s">
        <v>43</v>
      </c>
      <c r="B29" s="4" t="s">
        <v>44</v>
      </c>
    </row>
    <row r="30" customFormat="false" ht="15" hidden="false" customHeight="false" outlineLevel="0" collapsed="false">
      <c r="A30" s="3" t="s">
        <v>45</v>
      </c>
      <c r="B30" s="4" t="s">
        <v>46</v>
      </c>
    </row>
    <row r="31" customFormat="false" ht="15" hidden="false" customHeight="false" outlineLevel="0" collapsed="false">
      <c r="A31" s="3" t="s">
        <v>47</v>
      </c>
      <c r="B31" s="4" t="s">
        <v>48</v>
      </c>
    </row>
    <row r="32" customFormat="false" ht="15" hidden="false" customHeight="false" outlineLevel="0" collapsed="false">
      <c r="A32" s="3" t="s">
        <v>49</v>
      </c>
      <c r="B32" s="4" t="s">
        <v>50</v>
      </c>
    </row>
    <row r="33" customFormat="false" ht="15" hidden="false" customHeight="false" outlineLevel="0" collapsed="false">
      <c r="A33" s="3" t="s">
        <v>51</v>
      </c>
      <c r="B33" s="4" t="s">
        <v>52</v>
      </c>
    </row>
    <row r="34" customFormat="false" ht="23.85" hidden="false" customHeight="false" outlineLevel="0" collapsed="false">
      <c r="A34" s="3" t="s">
        <v>53</v>
      </c>
      <c r="B34" s="4" t="s">
        <v>54</v>
      </c>
    </row>
    <row r="35" customFormat="false" ht="15" hidden="false" customHeight="false" outlineLevel="0" collapsed="false">
      <c r="A35" s="3" t="s">
        <v>55</v>
      </c>
      <c r="B35" s="4" t="s">
        <v>56</v>
      </c>
    </row>
    <row r="36" customFormat="false" ht="15" hidden="false" customHeight="false" outlineLevel="0" collapsed="false">
      <c r="A36" s="3" t="s">
        <v>57</v>
      </c>
      <c r="B36" s="4" t="s">
        <v>58</v>
      </c>
    </row>
    <row r="37" customFormat="false" ht="15" hidden="false" customHeight="false" outlineLevel="0" collapsed="false">
      <c r="A37" s="3" t="s">
        <v>59</v>
      </c>
      <c r="B37" s="4" t="s">
        <v>60</v>
      </c>
    </row>
  </sheetData>
  <mergeCells count="5">
    <mergeCell ref="A1:B1"/>
    <mergeCell ref="A2:B2"/>
    <mergeCell ref="A14:B14"/>
    <mergeCell ref="A19:B19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4" min="4" style="0" width="30"/>
    <col collapsed="false" customWidth="true" hidden="false" outlineLevel="0" max="6" min="5" style="0" width="50"/>
    <col collapsed="false" customWidth="true" hidden="false" outlineLevel="0" max="7" min="7" style="0" width="38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6" t="s">
        <v>62</v>
      </c>
      <c r="B3" s="6" t="s">
        <v>63</v>
      </c>
      <c r="C3" s="6" t="s">
        <v>64</v>
      </c>
      <c r="D3" s="6" t="s">
        <v>65</v>
      </c>
      <c r="E3" s="6" t="s">
        <v>66</v>
      </c>
      <c r="F3" s="6" t="s">
        <v>67</v>
      </c>
      <c r="G3" s="6" t="s">
        <v>68</v>
      </c>
      <c r="H3" s="6" t="s">
        <v>69</v>
      </c>
    </row>
    <row r="4" customFormat="false" ht="79.5" hidden="false" customHeight="true" outlineLevel="0" collapsed="false">
      <c r="A4" s="7" t="s">
        <v>70</v>
      </c>
      <c r="B4" s="8" t="s">
        <v>71</v>
      </c>
      <c r="C4" s="8" t="s">
        <v>72</v>
      </c>
      <c r="D4" s="9" t="s">
        <v>73</v>
      </c>
      <c r="E4" s="9" t="s">
        <v>74</v>
      </c>
      <c r="F4" s="9" t="s">
        <v>75</v>
      </c>
      <c r="G4" s="9" t="s">
        <v>76</v>
      </c>
      <c r="H4" s="10" t="s">
        <v>77</v>
      </c>
    </row>
    <row r="5" customFormat="false" ht="79.5" hidden="false" customHeight="true" outlineLevel="0" collapsed="false">
      <c r="A5" s="7" t="s">
        <v>78</v>
      </c>
      <c r="B5" s="8" t="s">
        <v>79</v>
      </c>
      <c r="C5" s="8" t="s">
        <v>72</v>
      </c>
      <c r="D5" s="9" t="s">
        <v>73</v>
      </c>
      <c r="E5" s="9" t="s">
        <v>80</v>
      </c>
      <c r="F5" s="9" t="s">
        <v>81</v>
      </c>
      <c r="G5" s="9" t="s">
        <v>82</v>
      </c>
      <c r="H5" s="10" t="s">
        <v>77</v>
      </c>
    </row>
    <row r="6" customFormat="false" ht="79.5" hidden="false" customHeight="true" outlineLevel="0" collapsed="false">
      <c r="A6" s="7" t="s">
        <v>83</v>
      </c>
      <c r="B6" s="8" t="s">
        <v>84</v>
      </c>
      <c r="C6" s="8" t="s">
        <v>72</v>
      </c>
      <c r="D6" s="7" t="s">
        <v>73</v>
      </c>
      <c r="E6" s="7" t="s">
        <v>85</v>
      </c>
      <c r="F6" s="7" t="s">
        <v>86</v>
      </c>
      <c r="G6" s="7" t="s">
        <v>87</v>
      </c>
      <c r="H6" s="8" t="s">
        <v>77</v>
      </c>
    </row>
    <row r="7" customFormat="false" ht="79.5" hidden="false" customHeight="true" outlineLevel="0" collapsed="false">
      <c r="A7" s="11" t="s">
        <v>88</v>
      </c>
      <c r="B7" s="12" t="s">
        <v>89</v>
      </c>
      <c r="C7" s="12" t="s">
        <v>90</v>
      </c>
      <c r="D7" s="13" t="s">
        <v>91</v>
      </c>
      <c r="E7" s="13" t="s">
        <v>92</v>
      </c>
      <c r="F7" s="13" t="s">
        <v>93</v>
      </c>
      <c r="G7" s="13" t="s">
        <v>94</v>
      </c>
      <c r="H7" s="14" t="s">
        <v>77</v>
      </c>
    </row>
    <row r="8" customFormat="false" ht="79.5" hidden="false" customHeight="true" outlineLevel="0" collapsed="false">
      <c r="A8" s="11" t="s">
        <v>95</v>
      </c>
      <c r="B8" s="12" t="s">
        <v>96</v>
      </c>
      <c r="C8" s="12" t="s">
        <v>90</v>
      </c>
      <c r="D8" s="13" t="s">
        <v>91</v>
      </c>
      <c r="E8" s="13" t="s">
        <v>97</v>
      </c>
      <c r="F8" s="13" t="s">
        <v>98</v>
      </c>
      <c r="G8" s="13" t="s">
        <v>99</v>
      </c>
      <c r="H8" s="14" t="s">
        <v>77</v>
      </c>
    </row>
    <row r="9" customFormat="false" ht="79.5" hidden="false" customHeight="true" outlineLevel="0" collapsed="false">
      <c r="A9" s="11" t="s">
        <v>100</v>
      </c>
      <c r="B9" s="12" t="s">
        <v>101</v>
      </c>
      <c r="C9" s="12" t="s">
        <v>90</v>
      </c>
      <c r="D9" s="13" t="s">
        <v>91</v>
      </c>
      <c r="E9" s="13" t="s">
        <v>102</v>
      </c>
      <c r="F9" s="13" t="s">
        <v>103</v>
      </c>
      <c r="G9" s="13" t="s">
        <v>104</v>
      </c>
      <c r="H9" s="14" t="s">
        <v>77</v>
      </c>
    </row>
    <row r="10" customFormat="false" ht="79.5" hidden="false" customHeight="true" outlineLevel="0" collapsed="false">
      <c r="A10" s="11" t="s">
        <v>105</v>
      </c>
      <c r="B10" s="12" t="s">
        <v>106</v>
      </c>
      <c r="C10" s="12" t="s">
        <v>90</v>
      </c>
      <c r="D10" s="13" t="s">
        <v>91</v>
      </c>
      <c r="E10" s="13" t="s">
        <v>107</v>
      </c>
      <c r="F10" s="13" t="s">
        <v>108</v>
      </c>
      <c r="G10" s="13" t="s">
        <v>109</v>
      </c>
      <c r="H10" s="14" t="s">
        <v>77</v>
      </c>
    </row>
    <row r="11" customFormat="false" ht="79.5" hidden="false" customHeight="true" outlineLevel="0" collapsed="false">
      <c r="A11" s="11" t="s">
        <v>110</v>
      </c>
      <c r="B11" s="12" t="s">
        <v>71</v>
      </c>
      <c r="C11" s="12" t="s">
        <v>90</v>
      </c>
      <c r="D11" s="13" t="s">
        <v>91</v>
      </c>
      <c r="E11" s="13" t="s">
        <v>111</v>
      </c>
      <c r="F11" s="13" t="s">
        <v>112</v>
      </c>
      <c r="G11" s="13" t="s">
        <v>113</v>
      </c>
      <c r="H11" s="14" t="s">
        <v>77</v>
      </c>
    </row>
    <row r="12" customFormat="false" ht="79.5" hidden="false" customHeight="true" outlineLevel="0" collapsed="false">
      <c r="A12" s="11" t="s">
        <v>114</v>
      </c>
      <c r="B12" s="12" t="s">
        <v>79</v>
      </c>
      <c r="C12" s="12" t="s">
        <v>90</v>
      </c>
      <c r="D12" s="13" t="s">
        <v>91</v>
      </c>
      <c r="E12" s="13" t="s">
        <v>115</v>
      </c>
      <c r="F12" s="13" t="s">
        <v>116</v>
      </c>
      <c r="G12" s="13" t="s">
        <v>117</v>
      </c>
      <c r="H12" s="14" t="s">
        <v>77</v>
      </c>
    </row>
    <row r="13" customFormat="false" ht="79.5" hidden="false" customHeight="true" outlineLevel="0" collapsed="false">
      <c r="A13" s="11" t="s">
        <v>118</v>
      </c>
      <c r="B13" s="12" t="s">
        <v>84</v>
      </c>
      <c r="C13" s="12" t="s">
        <v>90</v>
      </c>
      <c r="D13" s="11" t="s">
        <v>91</v>
      </c>
      <c r="E13" s="11" t="s">
        <v>119</v>
      </c>
      <c r="F13" s="11" t="s">
        <v>120</v>
      </c>
      <c r="G13" s="11" t="s">
        <v>121</v>
      </c>
      <c r="H13" s="12" t="s">
        <v>77</v>
      </c>
    </row>
    <row r="14" customFormat="false" ht="79.5" hidden="false" customHeight="true" outlineLevel="0" collapsed="false">
      <c r="A14" s="15" t="s">
        <v>122</v>
      </c>
      <c r="B14" s="16" t="s">
        <v>89</v>
      </c>
      <c r="C14" s="16" t="s">
        <v>123</v>
      </c>
      <c r="D14" s="17" t="s">
        <v>124</v>
      </c>
      <c r="E14" s="17" t="s">
        <v>125</v>
      </c>
      <c r="F14" s="17" t="s">
        <v>126</v>
      </c>
      <c r="G14" s="17" t="s">
        <v>127</v>
      </c>
      <c r="H14" s="18" t="s">
        <v>77</v>
      </c>
    </row>
    <row r="15" customFormat="false" ht="79.5" hidden="false" customHeight="true" outlineLevel="0" collapsed="false">
      <c r="A15" s="15" t="s">
        <v>128</v>
      </c>
      <c r="B15" s="16" t="s">
        <v>96</v>
      </c>
      <c r="C15" s="16" t="s">
        <v>123</v>
      </c>
      <c r="D15" s="17" t="s">
        <v>124</v>
      </c>
      <c r="E15" s="17" t="s">
        <v>129</v>
      </c>
      <c r="F15" s="17" t="s">
        <v>130</v>
      </c>
      <c r="G15" s="17" t="s">
        <v>131</v>
      </c>
      <c r="H15" s="18" t="s">
        <v>77</v>
      </c>
    </row>
    <row r="16" customFormat="false" ht="79.5" hidden="false" customHeight="true" outlineLevel="0" collapsed="false">
      <c r="A16" s="15" t="s">
        <v>132</v>
      </c>
      <c r="B16" s="16" t="s">
        <v>101</v>
      </c>
      <c r="C16" s="16" t="s">
        <v>123</v>
      </c>
      <c r="D16" s="17" t="s">
        <v>124</v>
      </c>
      <c r="E16" s="17" t="s">
        <v>133</v>
      </c>
      <c r="F16" s="17" t="s">
        <v>134</v>
      </c>
      <c r="G16" s="17" t="s">
        <v>135</v>
      </c>
      <c r="H16" s="18" t="s">
        <v>77</v>
      </c>
    </row>
    <row r="17" customFormat="false" ht="79.5" hidden="false" customHeight="true" outlineLevel="0" collapsed="false">
      <c r="A17" s="15" t="s">
        <v>136</v>
      </c>
      <c r="B17" s="16" t="s">
        <v>106</v>
      </c>
      <c r="C17" s="16" t="s">
        <v>123</v>
      </c>
      <c r="D17" s="17" t="s">
        <v>124</v>
      </c>
      <c r="E17" s="17" t="s">
        <v>137</v>
      </c>
      <c r="F17" s="17" t="s">
        <v>138</v>
      </c>
      <c r="G17" s="17" t="s">
        <v>139</v>
      </c>
      <c r="H17" s="18" t="s">
        <v>77</v>
      </c>
    </row>
    <row r="18" customFormat="false" ht="79.5" hidden="false" customHeight="true" outlineLevel="0" collapsed="false">
      <c r="A18" s="15" t="s">
        <v>140</v>
      </c>
      <c r="B18" s="16" t="s">
        <v>71</v>
      </c>
      <c r="C18" s="16" t="s">
        <v>123</v>
      </c>
      <c r="D18" s="17" t="s">
        <v>124</v>
      </c>
      <c r="E18" s="17" t="s">
        <v>141</v>
      </c>
      <c r="F18" s="17" t="s">
        <v>142</v>
      </c>
      <c r="G18" s="17" t="s">
        <v>143</v>
      </c>
      <c r="H18" s="18" t="s">
        <v>77</v>
      </c>
    </row>
    <row r="19" customFormat="false" ht="79.5" hidden="false" customHeight="true" outlineLevel="0" collapsed="false">
      <c r="A19" s="15" t="s">
        <v>144</v>
      </c>
      <c r="B19" s="16" t="s">
        <v>79</v>
      </c>
      <c r="C19" s="16" t="s">
        <v>123</v>
      </c>
      <c r="D19" s="17" t="s">
        <v>124</v>
      </c>
      <c r="E19" s="17" t="s">
        <v>145</v>
      </c>
      <c r="F19" s="17" t="s">
        <v>146</v>
      </c>
      <c r="G19" s="17" t="s">
        <v>147</v>
      </c>
      <c r="H19" s="18" t="s">
        <v>77</v>
      </c>
    </row>
    <row r="20" customFormat="false" ht="79.5" hidden="false" customHeight="true" outlineLevel="0" collapsed="false">
      <c r="A20" s="15" t="s">
        <v>148</v>
      </c>
      <c r="B20" s="16" t="s">
        <v>84</v>
      </c>
      <c r="C20" s="16" t="s">
        <v>123</v>
      </c>
      <c r="D20" s="15" t="s">
        <v>124</v>
      </c>
      <c r="E20" s="15" t="s">
        <v>149</v>
      </c>
      <c r="F20" s="15" t="s">
        <v>150</v>
      </c>
      <c r="G20" s="15" t="s">
        <v>151</v>
      </c>
      <c r="H20" s="16" t="s">
        <v>77</v>
      </c>
    </row>
    <row r="21" customFormat="false" ht="79.5" hidden="false" customHeight="true" outlineLevel="0" collapsed="false">
      <c r="A21" s="19" t="s">
        <v>152</v>
      </c>
      <c r="B21" s="20" t="s">
        <v>89</v>
      </c>
      <c r="C21" s="20" t="s">
        <v>153</v>
      </c>
      <c r="D21" s="21" t="s">
        <v>154</v>
      </c>
      <c r="E21" s="21" t="s">
        <v>155</v>
      </c>
      <c r="F21" s="21" t="s">
        <v>156</v>
      </c>
      <c r="G21" s="21" t="s">
        <v>157</v>
      </c>
      <c r="H21" s="22" t="s">
        <v>77</v>
      </c>
    </row>
    <row r="22" customFormat="false" ht="79.5" hidden="false" customHeight="true" outlineLevel="0" collapsed="false">
      <c r="A22" s="19" t="s">
        <v>158</v>
      </c>
      <c r="B22" s="20" t="s">
        <v>96</v>
      </c>
      <c r="C22" s="20" t="s">
        <v>153</v>
      </c>
      <c r="D22" s="21" t="s">
        <v>154</v>
      </c>
      <c r="E22" s="21" t="s">
        <v>159</v>
      </c>
      <c r="F22" s="21" t="s">
        <v>160</v>
      </c>
      <c r="G22" s="21" t="s">
        <v>161</v>
      </c>
      <c r="H22" s="22" t="s">
        <v>77</v>
      </c>
    </row>
    <row r="23" customFormat="false" ht="79.5" hidden="false" customHeight="true" outlineLevel="0" collapsed="false">
      <c r="A23" s="19" t="s">
        <v>162</v>
      </c>
      <c r="B23" s="20" t="s">
        <v>101</v>
      </c>
      <c r="C23" s="20" t="s">
        <v>153</v>
      </c>
      <c r="D23" s="21" t="s">
        <v>154</v>
      </c>
      <c r="E23" s="21" t="s">
        <v>163</v>
      </c>
      <c r="F23" s="21" t="s">
        <v>164</v>
      </c>
      <c r="G23" s="21" t="s">
        <v>165</v>
      </c>
      <c r="H23" s="22" t="s">
        <v>77</v>
      </c>
    </row>
    <row r="24" customFormat="false" ht="79.5" hidden="false" customHeight="true" outlineLevel="0" collapsed="false">
      <c r="A24" s="19" t="s">
        <v>166</v>
      </c>
      <c r="B24" s="20" t="s">
        <v>106</v>
      </c>
      <c r="C24" s="20" t="s">
        <v>153</v>
      </c>
      <c r="D24" s="21" t="s">
        <v>154</v>
      </c>
      <c r="E24" s="21" t="s">
        <v>167</v>
      </c>
      <c r="F24" s="21" t="s">
        <v>168</v>
      </c>
      <c r="G24" s="21" t="s">
        <v>169</v>
      </c>
      <c r="H24" s="22" t="s">
        <v>77</v>
      </c>
    </row>
    <row r="25" customFormat="false" ht="79.5" hidden="false" customHeight="true" outlineLevel="0" collapsed="false">
      <c r="A25" s="19" t="s">
        <v>170</v>
      </c>
      <c r="B25" s="20" t="s">
        <v>71</v>
      </c>
      <c r="C25" s="20" t="s">
        <v>153</v>
      </c>
      <c r="D25" s="21" t="s">
        <v>154</v>
      </c>
      <c r="E25" s="21" t="s">
        <v>171</v>
      </c>
      <c r="F25" s="21" t="s">
        <v>172</v>
      </c>
      <c r="G25" s="21" t="s">
        <v>173</v>
      </c>
      <c r="H25" s="22" t="s">
        <v>77</v>
      </c>
    </row>
    <row r="26" customFormat="false" ht="79.5" hidden="false" customHeight="true" outlineLevel="0" collapsed="false">
      <c r="A26" s="19" t="s">
        <v>174</v>
      </c>
      <c r="B26" s="20" t="s">
        <v>79</v>
      </c>
      <c r="C26" s="20" t="s">
        <v>153</v>
      </c>
      <c r="D26" s="21" t="s">
        <v>154</v>
      </c>
      <c r="E26" s="21" t="s">
        <v>175</v>
      </c>
      <c r="F26" s="21" t="s">
        <v>176</v>
      </c>
      <c r="G26" s="21" t="s">
        <v>169</v>
      </c>
      <c r="H26" s="22" t="s">
        <v>77</v>
      </c>
    </row>
    <row r="27" customFormat="false" ht="79.5" hidden="false" customHeight="true" outlineLevel="0" collapsed="false">
      <c r="A27" s="19" t="s">
        <v>177</v>
      </c>
      <c r="B27" s="20" t="s">
        <v>84</v>
      </c>
      <c r="C27" s="20" t="s">
        <v>153</v>
      </c>
      <c r="D27" s="19" t="s">
        <v>154</v>
      </c>
      <c r="E27" s="19" t="s">
        <v>178</v>
      </c>
      <c r="F27" s="19" t="s">
        <v>179</v>
      </c>
      <c r="G27" s="19" t="s">
        <v>180</v>
      </c>
      <c r="H27" s="20" t="s">
        <v>77</v>
      </c>
    </row>
    <row r="28" customFormat="false" ht="79.5" hidden="false" customHeight="true" outlineLevel="0" collapsed="false">
      <c r="A28" s="23" t="s">
        <v>181</v>
      </c>
      <c r="B28" s="24" t="s">
        <v>89</v>
      </c>
      <c r="C28" s="24" t="s">
        <v>182</v>
      </c>
      <c r="D28" s="25" t="s">
        <v>183</v>
      </c>
      <c r="E28" s="25" t="s">
        <v>184</v>
      </c>
      <c r="F28" s="25" t="s">
        <v>185</v>
      </c>
      <c r="G28" s="25" t="s">
        <v>186</v>
      </c>
      <c r="H28" s="26" t="s">
        <v>77</v>
      </c>
    </row>
    <row r="29" customFormat="false" ht="79.5" hidden="false" customHeight="true" outlineLevel="0" collapsed="false">
      <c r="A29" s="23" t="s">
        <v>187</v>
      </c>
      <c r="B29" s="24" t="s">
        <v>96</v>
      </c>
      <c r="C29" s="24" t="s">
        <v>182</v>
      </c>
      <c r="D29" s="25" t="s">
        <v>183</v>
      </c>
      <c r="E29" s="25" t="s">
        <v>188</v>
      </c>
      <c r="F29" s="25" t="s">
        <v>189</v>
      </c>
      <c r="G29" s="25" t="s">
        <v>190</v>
      </c>
      <c r="H29" s="26" t="s">
        <v>77</v>
      </c>
    </row>
    <row r="30" customFormat="false" ht="79.5" hidden="false" customHeight="true" outlineLevel="0" collapsed="false">
      <c r="A30" s="23" t="s">
        <v>191</v>
      </c>
      <c r="B30" s="24" t="s">
        <v>101</v>
      </c>
      <c r="C30" s="24" t="s">
        <v>182</v>
      </c>
      <c r="D30" s="25" t="s">
        <v>183</v>
      </c>
      <c r="E30" s="25" t="s">
        <v>192</v>
      </c>
      <c r="F30" s="25" t="s">
        <v>193</v>
      </c>
      <c r="G30" s="25" t="s">
        <v>194</v>
      </c>
      <c r="H30" s="26" t="s">
        <v>77</v>
      </c>
    </row>
    <row r="31" customFormat="false" ht="79.5" hidden="false" customHeight="true" outlineLevel="0" collapsed="false">
      <c r="A31" s="23" t="s">
        <v>195</v>
      </c>
      <c r="B31" s="24" t="s">
        <v>106</v>
      </c>
      <c r="C31" s="24" t="s">
        <v>182</v>
      </c>
      <c r="D31" s="25" t="s">
        <v>183</v>
      </c>
      <c r="E31" s="25" t="s">
        <v>196</v>
      </c>
      <c r="F31" s="25" t="s">
        <v>197</v>
      </c>
      <c r="G31" s="25" t="s">
        <v>198</v>
      </c>
      <c r="H31" s="26" t="s">
        <v>77</v>
      </c>
    </row>
    <row r="32" customFormat="false" ht="79.5" hidden="false" customHeight="true" outlineLevel="0" collapsed="false">
      <c r="A32" s="23" t="s">
        <v>199</v>
      </c>
      <c r="B32" s="24" t="s">
        <v>71</v>
      </c>
      <c r="C32" s="24" t="s">
        <v>182</v>
      </c>
      <c r="D32" s="25" t="s">
        <v>183</v>
      </c>
      <c r="E32" s="25" t="s">
        <v>200</v>
      </c>
      <c r="F32" s="25" t="s">
        <v>201</v>
      </c>
      <c r="G32" s="25" t="s">
        <v>202</v>
      </c>
      <c r="H32" s="26" t="s">
        <v>77</v>
      </c>
    </row>
    <row r="33" customFormat="false" ht="79.5" hidden="false" customHeight="true" outlineLevel="0" collapsed="false">
      <c r="A33" s="23" t="s">
        <v>203</v>
      </c>
      <c r="B33" s="24" t="s">
        <v>79</v>
      </c>
      <c r="C33" s="24" t="s">
        <v>182</v>
      </c>
      <c r="D33" s="25" t="s">
        <v>183</v>
      </c>
      <c r="E33" s="25" t="s">
        <v>204</v>
      </c>
      <c r="F33" s="25" t="s">
        <v>205</v>
      </c>
      <c r="G33" s="25" t="s">
        <v>206</v>
      </c>
      <c r="H33" s="26" t="s">
        <v>77</v>
      </c>
    </row>
    <row r="34" customFormat="false" ht="79.5" hidden="false" customHeight="true" outlineLevel="0" collapsed="false">
      <c r="A34" s="23" t="s">
        <v>207</v>
      </c>
      <c r="B34" s="24" t="s">
        <v>84</v>
      </c>
      <c r="C34" s="24" t="s">
        <v>182</v>
      </c>
      <c r="D34" s="23" t="s">
        <v>183</v>
      </c>
      <c r="E34" s="23" t="s">
        <v>208</v>
      </c>
      <c r="F34" s="23" t="s">
        <v>209</v>
      </c>
      <c r="G34" s="23" t="s">
        <v>210</v>
      </c>
      <c r="H34" s="24" t="s">
        <v>77</v>
      </c>
    </row>
    <row r="35" customFormat="false" ht="79.5" hidden="false" customHeight="true" outlineLevel="0" collapsed="false">
      <c r="A35" s="27" t="s">
        <v>211</v>
      </c>
      <c r="B35" s="28" t="s">
        <v>89</v>
      </c>
      <c r="C35" s="28" t="s">
        <v>212</v>
      </c>
      <c r="D35" s="29" t="s">
        <v>213</v>
      </c>
      <c r="E35" s="29" t="s">
        <v>196</v>
      </c>
      <c r="F35" s="29" t="s">
        <v>214</v>
      </c>
      <c r="G35" s="29" t="s">
        <v>215</v>
      </c>
      <c r="H35" s="30" t="s">
        <v>77</v>
      </c>
    </row>
    <row r="36" customFormat="false" ht="79.5" hidden="false" customHeight="true" outlineLevel="0" collapsed="false">
      <c r="A36" s="27" t="s">
        <v>216</v>
      </c>
      <c r="B36" s="28" t="s">
        <v>96</v>
      </c>
      <c r="C36" s="28" t="s">
        <v>212</v>
      </c>
      <c r="D36" s="29" t="s">
        <v>213</v>
      </c>
      <c r="E36" s="29" t="s">
        <v>217</v>
      </c>
      <c r="F36" s="29" t="s">
        <v>218</v>
      </c>
      <c r="G36" s="29" t="s">
        <v>219</v>
      </c>
      <c r="H36" s="30" t="s">
        <v>77</v>
      </c>
    </row>
    <row r="37" customFormat="false" ht="79.5" hidden="false" customHeight="true" outlineLevel="0" collapsed="false">
      <c r="A37" s="27" t="s">
        <v>220</v>
      </c>
      <c r="B37" s="28" t="s">
        <v>101</v>
      </c>
      <c r="C37" s="28" t="s">
        <v>212</v>
      </c>
      <c r="D37" s="29" t="s">
        <v>213</v>
      </c>
      <c r="E37" s="29" t="s">
        <v>221</v>
      </c>
      <c r="F37" s="29" t="s">
        <v>222</v>
      </c>
      <c r="G37" s="29" t="s">
        <v>223</v>
      </c>
      <c r="H37" s="30" t="s">
        <v>77</v>
      </c>
    </row>
    <row r="38" customFormat="false" ht="79.5" hidden="false" customHeight="true" outlineLevel="0" collapsed="false">
      <c r="A38" s="27" t="s">
        <v>224</v>
      </c>
      <c r="B38" s="28" t="s">
        <v>106</v>
      </c>
      <c r="C38" s="28" t="s">
        <v>212</v>
      </c>
      <c r="D38" s="29" t="s">
        <v>213</v>
      </c>
      <c r="E38" s="29" t="s">
        <v>225</v>
      </c>
      <c r="F38" s="29" t="s">
        <v>226</v>
      </c>
      <c r="G38" s="29" t="s">
        <v>227</v>
      </c>
      <c r="H38" s="30" t="s">
        <v>77</v>
      </c>
    </row>
    <row r="39" customFormat="false" ht="79.5" hidden="false" customHeight="true" outlineLevel="0" collapsed="false">
      <c r="A39" s="27" t="s">
        <v>228</v>
      </c>
      <c r="B39" s="28" t="s">
        <v>71</v>
      </c>
      <c r="C39" s="28" t="s">
        <v>212</v>
      </c>
      <c r="D39" s="29" t="s">
        <v>213</v>
      </c>
      <c r="E39" s="29" t="s">
        <v>229</v>
      </c>
      <c r="F39" s="29" t="s">
        <v>230</v>
      </c>
      <c r="G39" s="29" t="s">
        <v>231</v>
      </c>
      <c r="H39" s="30" t="s">
        <v>77</v>
      </c>
    </row>
    <row r="40" customFormat="false" ht="79.5" hidden="false" customHeight="true" outlineLevel="0" collapsed="false">
      <c r="A40" s="27" t="s">
        <v>232</v>
      </c>
      <c r="B40" s="28" t="s">
        <v>79</v>
      </c>
      <c r="C40" s="28" t="s">
        <v>212</v>
      </c>
      <c r="D40" s="29" t="s">
        <v>213</v>
      </c>
      <c r="E40" s="29" t="s">
        <v>233</v>
      </c>
      <c r="F40" s="29" t="s">
        <v>234</v>
      </c>
      <c r="G40" s="29" t="s">
        <v>235</v>
      </c>
      <c r="H40" s="30" t="s">
        <v>77</v>
      </c>
    </row>
    <row r="41" customFormat="false" ht="79.5" hidden="false" customHeight="true" outlineLevel="0" collapsed="false">
      <c r="A41" s="27" t="s">
        <v>236</v>
      </c>
      <c r="B41" s="28" t="s">
        <v>84</v>
      </c>
      <c r="C41" s="28" t="s">
        <v>212</v>
      </c>
      <c r="D41" s="27" t="s">
        <v>213</v>
      </c>
      <c r="E41" s="27" t="s">
        <v>237</v>
      </c>
      <c r="F41" s="27" t="s">
        <v>238</v>
      </c>
      <c r="G41" s="27" t="s">
        <v>239</v>
      </c>
      <c r="H41" s="28" t="s">
        <v>77</v>
      </c>
    </row>
    <row r="42" customFormat="false" ht="79.5" hidden="false" customHeight="true" outlineLevel="0" collapsed="false">
      <c r="A42" s="31" t="s">
        <v>240</v>
      </c>
      <c r="B42" s="32" t="s">
        <v>89</v>
      </c>
      <c r="C42" s="32" t="s">
        <v>241</v>
      </c>
      <c r="D42" s="33" t="s">
        <v>242</v>
      </c>
      <c r="E42" s="33" t="s">
        <v>243</v>
      </c>
      <c r="F42" s="33" t="s">
        <v>244</v>
      </c>
      <c r="G42" s="33" t="s">
        <v>245</v>
      </c>
      <c r="H42" s="34" t="s">
        <v>77</v>
      </c>
    </row>
    <row r="43" customFormat="false" ht="79.5" hidden="false" customHeight="true" outlineLevel="0" collapsed="false">
      <c r="A43" s="31" t="s">
        <v>246</v>
      </c>
      <c r="B43" s="32" t="s">
        <v>96</v>
      </c>
      <c r="C43" s="32" t="s">
        <v>241</v>
      </c>
      <c r="D43" s="33" t="s">
        <v>242</v>
      </c>
      <c r="E43" s="33" t="s">
        <v>247</v>
      </c>
      <c r="F43" s="33" t="s">
        <v>248</v>
      </c>
      <c r="G43" s="33" t="s">
        <v>249</v>
      </c>
      <c r="H43" s="34" t="s">
        <v>77</v>
      </c>
    </row>
    <row r="44" customFormat="false" ht="79.5" hidden="false" customHeight="true" outlineLevel="0" collapsed="false">
      <c r="A44" s="31" t="s">
        <v>250</v>
      </c>
      <c r="B44" s="32" t="s">
        <v>101</v>
      </c>
      <c r="C44" s="32" t="s">
        <v>241</v>
      </c>
      <c r="D44" s="33" t="s">
        <v>242</v>
      </c>
      <c r="E44" s="33" t="s">
        <v>251</v>
      </c>
      <c r="F44" s="33" t="s">
        <v>252</v>
      </c>
      <c r="G44" s="33" t="s">
        <v>253</v>
      </c>
      <c r="H44" s="34" t="s">
        <v>77</v>
      </c>
    </row>
    <row r="45" customFormat="false" ht="79.5" hidden="false" customHeight="true" outlineLevel="0" collapsed="false">
      <c r="A45" s="31" t="s">
        <v>254</v>
      </c>
      <c r="B45" s="32" t="s">
        <v>106</v>
      </c>
      <c r="C45" s="32" t="s">
        <v>241</v>
      </c>
      <c r="D45" s="33" t="s">
        <v>242</v>
      </c>
      <c r="E45" s="33" t="s">
        <v>255</v>
      </c>
      <c r="F45" s="33" t="s">
        <v>256</v>
      </c>
      <c r="G45" s="33" t="s">
        <v>257</v>
      </c>
      <c r="H45" s="34" t="s">
        <v>77</v>
      </c>
    </row>
    <row r="46" customFormat="false" ht="79.5" hidden="false" customHeight="true" outlineLevel="0" collapsed="false">
      <c r="A46" s="31" t="s">
        <v>258</v>
      </c>
      <c r="B46" s="32" t="s">
        <v>71</v>
      </c>
      <c r="C46" s="32" t="s">
        <v>241</v>
      </c>
      <c r="D46" s="33" t="s">
        <v>242</v>
      </c>
      <c r="E46" s="33" t="s">
        <v>259</v>
      </c>
      <c r="F46" s="33" t="s">
        <v>260</v>
      </c>
      <c r="G46" s="33" t="s">
        <v>261</v>
      </c>
      <c r="H46" s="34" t="s">
        <v>77</v>
      </c>
    </row>
    <row r="47" customFormat="false" ht="79.5" hidden="false" customHeight="true" outlineLevel="0" collapsed="false">
      <c r="A47" s="31" t="s">
        <v>262</v>
      </c>
      <c r="B47" s="32" t="s">
        <v>79</v>
      </c>
      <c r="C47" s="32" t="s">
        <v>241</v>
      </c>
      <c r="D47" s="33" t="s">
        <v>242</v>
      </c>
      <c r="E47" s="33" t="s">
        <v>263</v>
      </c>
      <c r="F47" s="33" t="s">
        <v>264</v>
      </c>
      <c r="G47" s="33" t="s">
        <v>265</v>
      </c>
      <c r="H47" s="34" t="s">
        <v>77</v>
      </c>
    </row>
    <row r="48" customFormat="false" ht="79.5" hidden="false" customHeight="true" outlineLevel="0" collapsed="false">
      <c r="A48" s="31" t="s">
        <v>266</v>
      </c>
      <c r="B48" s="32" t="s">
        <v>84</v>
      </c>
      <c r="C48" s="32" t="s">
        <v>241</v>
      </c>
      <c r="D48" s="31" t="s">
        <v>242</v>
      </c>
      <c r="E48" s="31" t="s">
        <v>267</v>
      </c>
      <c r="F48" s="31" t="s">
        <v>268</v>
      </c>
      <c r="G48" s="31" t="s">
        <v>269</v>
      </c>
      <c r="H48" s="32" t="s">
        <v>77</v>
      </c>
    </row>
    <row r="49" customFormat="false" ht="79.5" hidden="false" customHeight="true" outlineLevel="0" collapsed="false">
      <c r="A49" s="35" t="s">
        <v>270</v>
      </c>
      <c r="B49" s="36" t="s">
        <v>89</v>
      </c>
      <c r="C49" s="36" t="s">
        <v>271</v>
      </c>
      <c r="D49" s="37" t="s">
        <v>272</v>
      </c>
      <c r="E49" s="37" t="s">
        <v>273</v>
      </c>
      <c r="F49" s="37" t="s">
        <v>274</v>
      </c>
      <c r="G49" s="37" t="s">
        <v>275</v>
      </c>
      <c r="H49" s="38" t="s">
        <v>77</v>
      </c>
    </row>
    <row r="50" customFormat="false" ht="79.5" hidden="false" customHeight="true" outlineLevel="0" collapsed="false">
      <c r="A50" s="35" t="s">
        <v>276</v>
      </c>
      <c r="B50" s="36" t="s">
        <v>96</v>
      </c>
      <c r="C50" s="36" t="s">
        <v>271</v>
      </c>
      <c r="D50" s="37" t="s">
        <v>272</v>
      </c>
      <c r="E50" s="37" t="s">
        <v>277</v>
      </c>
      <c r="F50" s="37" t="s">
        <v>278</v>
      </c>
      <c r="G50" s="37" t="s">
        <v>279</v>
      </c>
      <c r="H50" s="38" t="s">
        <v>77</v>
      </c>
    </row>
    <row r="51" customFormat="false" ht="79.5" hidden="false" customHeight="true" outlineLevel="0" collapsed="false">
      <c r="A51" s="35" t="s">
        <v>280</v>
      </c>
      <c r="B51" s="36" t="s">
        <v>101</v>
      </c>
      <c r="C51" s="36" t="s">
        <v>271</v>
      </c>
      <c r="D51" s="37" t="s">
        <v>272</v>
      </c>
      <c r="E51" s="37" t="s">
        <v>281</v>
      </c>
      <c r="F51" s="37" t="s">
        <v>282</v>
      </c>
      <c r="G51" s="37" t="s">
        <v>283</v>
      </c>
      <c r="H51" s="38" t="s">
        <v>77</v>
      </c>
    </row>
    <row r="52" customFormat="false" ht="79.5" hidden="false" customHeight="true" outlineLevel="0" collapsed="false">
      <c r="A52" s="35" t="s">
        <v>284</v>
      </c>
      <c r="B52" s="36" t="s">
        <v>106</v>
      </c>
      <c r="C52" s="36" t="s">
        <v>271</v>
      </c>
      <c r="D52" s="37" t="s">
        <v>272</v>
      </c>
      <c r="E52" s="37" t="s">
        <v>285</v>
      </c>
      <c r="F52" s="37" t="s">
        <v>286</v>
      </c>
      <c r="G52" s="37" t="s">
        <v>287</v>
      </c>
      <c r="H52" s="38" t="s">
        <v>77</v>
      </c>
    </row>
    <row r="53" customFormat="false" ht="79.5" hidden="false" customHeight="true" outlineLevel="0" collapsed="false">
      <c r="A53" s="35" t="s">
        <v>288</v>
      </c>
      <c r="B53" s="36" t="s">
        <v>71</v>
      </c>
      <c r="C53" s="36" t="s">
        <v>271</v>
      </c>
      <c r="D53" s="37" t="s">
        <v>272</v>
      </c>
      <c r="E53" s="37" t="s">
        <v>289</v>
      </c>
      <c r="F53" s="37" t="s">
        <v>290</v>
      </c>
      <c r="G53" s="37" t="s">
        <v>291</v>
      </c>
      <c r="H53" s="38" t="s">
        <v>77</v>
      </c>
    </row>
    <row r="54" customFormat="false" ht="79.5" hidden="false" customHeight="true" outlineLevel="0" collapsed="false">
      <c r="A54" s="35" t="s">
        <v>292</v>
      </c>
      <c r="B54" s="36" t="s">
        <v>79</v>
      </c>
      <c r="C54" s="36" t="s">
        <v>271</v>
      </c>
      <c r="D54" s="37" t="s">
        <v>272</v>
      </c>
      <c r="E54" s="37" t="s">
        <v>293</v>
      </c>
      <c r="F54" s="37" t="s">
        <v>294</v>
      </c>
      <c r="G54" s="37" t="s">
        <v>295</v>
      </c>
      <c r="H54" s="38" t="s">
        <v>77</v>
      </c>
    </row>
    <row r="55" customFormat="false" ht="79.5" hidden="false" customHeight="true" outlineLevel="0" collapsed="false">
      <c r="A55" s="35" t="s">
        <v>296</v>
      </c>
      <c r="B55" s="36" t="s">
        <v>84</v>
      </c>
      <c r="C55" s="36" t="s">
        <v>271</v>
      </c>
      <c r="D55" s="35" t="s">
        <v>272</v>
      </c>
      <c r="E55" s="35" t="s">
        <v>297</v>
      </c>
      <c r="F55" s="35" t="s">
        <v>298</v>
      </c>
      <c r="G55" s="35" t="s">
        <v>299</v>
      </c>
      <c r="H55" s="36" t="s">
        <v>77</v>
      </c>
    </row>
    <row r="56" customFormat="false" ht="79.5" hidden="false" customHeight="true" outlineLevel="0" collapsed="false">
      <c r="A56" s="39" t="s">
        <v>300</v>
      </c>
      <c r="B56" s="40" t="s">
        <v>89</v>
      </c>
      <c r="C56" s="40" t="s">
        <v>301</v>
      </c>
      <c r="D56" s="41" t="s">
        <v>302</v>
      </c>
      <c r="E56" s="41" t="s">
        <v>303</v>
      </c>
      <c r="F56" s="41" t="s">
        <v>304</v>
      </c>
      <c r="G56" s="41" t="s">
        <v>305</v>
      </c>
      <c r="H56" s="42" t="s">
        <v>77</v>
      </c>
    </row>
    <row r="57" customFormat="false" ht="79.5" hidden="false" customHeight="true" outlineLevel="0" collapsed="false">
      <c r="A57" s="39" t="s">
        <v>306</v>
      </c>
      <c r="B57" s="40" t="s">
        <v>96</v>
      </c>
      <c r="C57" s="40" t="s">
        <v>301</v>
      </c>
      <c r="D57" s="41" t="s">
        <v>302</v>
      </c>
      <c r="E57" s="41" t="s">
        <v>307</v>
      </c>
      <c r="F57" s="41" t="s">
        <v>308</v>
      </c>
      <c r="G57" s="41" t="s">
        <v>309</v>
      </c>
      <c r="H57" s="42" t="s">
        <v>77</v>
      </c>
    </row>
    <row r="58" customFormat="false" ht="79.5" hidden="false" customHeight="true" outlineLevel="0" collapsed="false">
      <c r="A58" s="39" t="s">
        <v>310</v>
      </c>
      <c r="B58" s="40" t="s">
        <v>101</v>
      </c>
      <c r="C58" s="40" t="s">
        <v>301</v>
      </c>
      <c r="D58" s="41" t="s">
        <v>302</v>
      </c>
      <c r="E58" s="41" t="s">
        <v>311</v>
      </c>
      <c r="F58" s="41" t="s">
        <v>308</v>
      </c>
      <c r="G58" s="41" t="s">
        <v>312</v>
      </c>
      <c r="H58" s="42" t="s">
        <v>77</v>
      </c>
    </row>
    <row r="59" customFormat="false" ht="79.5" hidden="false" customHeight="true" outlineLevel="0" collapsed="false">
      <c r="A59" s="39" t="s">
        <v>313</v>
      </c>
      <c r="B59" s="40" t="s">
        <v>106</v>
      </c>
      <c r="C59" s="40" t="s">
        <v>301</v>
      </c>
      <c r="D59" s="41" t="s">
        <v>302</v>
      </c>
      <c r="E59" s="41" t="s">
        <v>314</v>
      </c>
      <c r="F59" s="41" t="s">
        <v>315</v>
      </c>
      <c r="G59" s="41" t="s">
        <v>316</v>
      </c>
      <c r="H59" s="42" t="s">
        <v>77</v>
      </c>
    </row>
    <row r="60" customFormat="false" ht="79.5" hidden="false" customHeight="true" outlineLevel="0" collapsed="false">
      <c r="A60" s="39" t="s">
        <v>317</v>
      </c>
      <c r="B60" s="40" t="s">
        <v>71</v>
      </c>
      <c r="C60" s="40" t="s">
        <v>301</v>
      </c>
      <c r="D60" s="41" t="s">
        <v>302</v>
      </c>
      <c r="E60" s="41" t="s">
        <v>318</v>
      </c>
      <c r="F60" s="41" t="s">
        <v>319</v>
      </c>
      <c r="G60" s="41" t="s">
        <v>320</v>
      </c>
      <c r="H60" s="42" t="s">
        <v>77</v>
      </c>
    </row>
    <row r="61" customFormat="false" ht="79.5" hidden="false" customHeight="true" outlineLevel="0" collapsed="false">
      <c r="A61" s="43" t="s">
        <v>321</v>
      </c>
      <c r="B61" s="44" t="s">
        <v>79</v>
      </c>
      <c r="C61" s="44" t="s">
        <v>301</v>
      </c>
      <c r="D61" s="43" t="s">
        <v>302</v>
      </c>
      <c r="E61" s="43" t="s">
        <v>322</v>
      </c>
      <c r="F61" s="43" t="s">
        <v>323</v>
      </c>
      <c r="G61" s="43" t="s">
        <v>324</v>
      </c>
      <c r="H61" s="44" t="s">
        <v>77</v>
      </c>
    </row>
    <row r="62" customFormat="false" ht="79.5" hidden="false" customHeight="true" outlineLevel="0" collapsed="false">
      <c r="A62" s="39" t="s">
        <v>325</v>
      </c>
      <c r="B62" s="40" t="s">
        <v>84</v>
      </c>
      <c r="C62" s="40" t="s">
        <v>301</v>
      </c>
      <c r="D62" s="39" t="s">
        <v>302</v>
      </c>
      <c r="E62" s="39" t="s">
        <v>326</v>
      </c>
      <c r="F62" s="39" t="s">
        <v>327</v>
      </c>
      <c r="G62" s="39" t="s">
        <v>328</v>
      </c>
      <c r="H62" s="40" t="s">
        <v>77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50"/>
    <col collapsed="false" customWidth="true" hidden="false" outlineLevel="0" max="5" min="5" style="0" width="25"/>
    <col collapsed="false" customWidth="true" hidden="false" outlineLevel="0" max="6" min="6" style="0" width="35"/>
  </cols>
  <sheetData>
    <row r="1" customFormat="false" ht="27.75" hidden="false" customHeight="true" outlineLevel="0" collapsed="false">
      <c r="A1" s="1" t="s">
        <v>329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6" t="s">
        <v>64</v>
      </c>
      <c r="B3" s="6" t="s">
        <v>330</v>
      </c>
      <c r="C3" s="6" t="s">
        <v>331</v>
      </c>
      <c r="D3" s="6" t="s">
        <v>332</v>
      </c>
      <c r="E3" s="6" t="s">
        <v>333</v>
      </c>
      <c r="F3" s="6" t="s">
        <v>334</v>
      </c>
    </row>
    <row r="4" customFormat="false" ht="90" hidden="false" customHeight="true" outlineLevel="0" collapsed="false">
      <c r="A4" s="45" t="s">
        <v>90</v>
      </c>
      <c r="B4" s="13" t="s">
        <v>335</v>
      </c>
      <c r="C4" s="13" t="s">
        <v>336</v>
      </c>
      <c r="D4" s="13" t="s">
        <v>337</v>
      </c>
      <c r="E4" s="13" t="s">
        <v>338</v>
      </c>
      <c r="F4" s="13" t="s">
        <v>339</v>
      </c>
    </row>
    <row r="5" customFormat="false" ht="90" hidden="false" customHeight="true" outlineLevel="0" collapsed="false">
      <c r="A5" s="46" t="s">
        <v>123</v>
      </c>
      <c r="B5" s="17" t="s">
        <v>340</v>
      </c>
      <c r="C5" s="17" t="s">
        <v>341</v>
      </c>
      <c r="D5" s="17" t="s">
        <v>342</v>
      </c>
      <c r="E5" s="17" t="s">
        <v>343</v>
      </c>
      <c r="F5" s="17" t="s">
        <v>344</v>
      </c>
    </row>
    <row r="6" customFormat="false" ht="90" hidden="false" customHeight="true" outlineLevel="0" collapsed="false">
      <c r="A6" s="47" t="s">
        <v>153</v>
      </c>
      <c r="B6" s="21" t="s">
        <v>345</v>
      </c>
      <c r="C6" s="21" t="s">
        <v>346</v>
      </c>
      <c r="D6" s="21" t="s">
        <v>347</v>
      </c>
      <c r="E6" s="21" t="s">
        <v>348</v>
      </c>
      <c r="F6" s="21" t="s">
        <v>349</v>
      </c>
    </row>
    <row r="7" customFormat="false" ht="90" hidden="false" customHeight="true" outlineLevel="0" collapsed="false">
      <c r="A7" s="48" t="s">
        <v>182</v>
      </c>
      <c r="B7" s="25" t="s">
        <v>350</v>
      </c>
      <c r="C7" s="25" t="s">
        <v>351</v>
      </c>
      <c r="D7" s="25" t="s">
        <v>352</v>
      </c>
      <c r="E7" s="25" t="s">
        <v>353</v>
      </c>
      <c r="F7" s="25" t="s">
        <v>354</v>
      </c>
    </row>
    <row r="8" customFormat="false" ht="90" hidden="false" customHeight="true" outlineLevel="0" collapsed="false">
      <c r="A8" s="49" t="s">
        <v>212</v>
      </c>
      <c r="B8" s="29" t="s">
        <v>355</v>
      </c>
      <c r="C8" s="29" t="s">
        <v>356</v>
      </c>
      <c r="D8" s="29" t="s">
        <v>357</v>
      </c>
      <c r="E8" s="29" t="s">
        <v>358</v>
      </c>
      <c r="F8" s="29" t="s">
        <v>359</v>
      </c>
    </row>
    <row r="9" customFormat="false" ht="90" hidden="false" customHeight="true" outlineLevel="0" collapsed="false">
      <c r="A9" s="50" t="s">
        <v>241</v>
      </c>
      <c r="B9" s="33" t="s">
        <v>360</v>
      </c>
      <c r="C9" s="33" t="s">
        <v>361</v>
      </c>
      <c r="D9" s="33" t="s">
        <v>362</v>
      </c>
      <c r="E9" s="33" t="s">
        <v>363</v>
      </c>
      <c r="F9" s="33" t="s">
        <v>364</v>
      </c>
    </row>
    <row r="10" customFormat="false" ht="90" hidden="false" customHeight="true" outlineLevel="0" collapsed="false">
      <c r="A10" s="51" t="s">
        <v>271</v>
      </c>
      <c r="B10" s="37" t="s">
        <v>365</v>
      </c>
      <c r="C10" s="37" t="s">
        <v>366</v>
      </c>
      <c r="D10" s="37" t="s">
        <v>367</v>
      </c>
      <c r="E10" s="37" t="s">
        <v>368</v>
      </c>
      <c r="F10" s="37" t="s">
        <v>369</v>
      </c>
    </row>
    <row r="11" customFormat="false" ht="90" hidden="false" customHeight="true" outlineLevel="0" collapsed="false">
      <c r="A11" s="52" t="s">
        <v>301</v>
      </c>
      <c r="B11" s="41" t="s">
        <v>370</v>
      </c>
      <c r="C11" s="41" t="s">
        <v>371</v>
      </c>
      <c r="D11" s="41" t="s">
        <v>372</v>
      </c>
      <c r="E11" s="41" t="s">
        <v>373</v>
      </c>
      <c r="F11" s="41" t="s">
        <v>374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50"/>
  </cols>
  <sheetData>
    <row r="1" customFormat="false" ht="27.75" hidden="false" customHeight="true" outlineLevel="0" collapsed="false">
      <c r="A1" s="1" t="s">
        <v>375</v>
      </c>
      <c r="B1" s="1"/>
      <c r="C1" s="1"/>
    </row>
    <row r="3" customFormat="false" ht="27.75" hidden="false" customHeight="true" outlineLevel="0" collapsed="false">
      <c r="A3" s="6"/>
      <c r="B3" s="6" t="s">
        <v>376</v>
      </c>
      <c r="C3" s="6" t="s">
        <v>377</v>
      </c>
    </row>
    <row r="4" customFormat="false" ht="79.5" hidden="false" customHeight="true" outlineLevel="0" collapsed="false">
      <c r="A4" s="53" t="s">
        <v>331</v>
      </c>
      <c r="B4" s="54" t="s">
        <v>378</v>
      </c>
      <c r="C4" s="54" t="s">
        <v>379</v>
      </c>
    </row>
    <row r="5" customFormat="false" ht="79.5" hidden="false" customHeight="true" outlineLevel="0" collapsed="false">
      <c r="A5" s="53" t="s">
        <v>380</v>
      </c>
      <c r="B5" s="54" t="s">
        <v>381</v>
      </c>
      <c r="C5" s="54" t="s">
        <v>382</v>
      </c>
    </row>
    <row r="6" customFormat="false" ht="79.5" hidden="false" customHeight="true" outlineLevel="0" collapsed="false">
      <c r="A6" s="53" t="s">
        <v>383</v>
      </c>
      <c r="B6" s="54" t="s">
        <v>384</v>
      </c>
      <c r="C6" s="54" t="s">
        <v>385</v>
      </c>
    </row>
    <row r="7" customFormat="false" ht="79.5" hidden="false" customHeight="true" outlineLevel="0" collapsed="false">
      <c r="A7" s="53" t="s">
        <v>386</v>
      </c>
      <c r="B7" s="54" t="s">
        <v>387</v>
      </c>
      <c r="C7" s="54" t="s">
        <v>388</v>
      </c>
    </row>
    <row r="8" customFormat="false" ht="79.5" hidden="false" customHeight="true" outlineLevel="0" collapsed="false">
      <c r="A8" s="53" t="s">
        <v>389</v>
      </c>
      <c r="B8" s="54" t="s">
        <v>390</v>
      </c>
      <c r="C8" s="54" t="s">
        <v>391</v>
      </c>
    </row>
    <row r="9" customFormat="false" ht="79.5" hidden="false" customHeight="true" outlineLevel="0" collapsed="false">
      <c r="A9" s="53" t="s">
        <v>392</v>
      </c>
      <c r="B9" s="54" t="s">
        <v>393</v>
      </c>
      <c r="C9" s="54" t="s">
        <v>394</v>
      </c>
    </row>
    <row r="10" customFormat="false" ht="79.5" hidden="false" customHeight="true" outlineLevel="0" collapsed="false">
      <c r="A10" s="53" t="s">
        <v>395</v>
      </c>
      <c r="B10" s="54" t="s">
        <v>396</v>
      </c>
      <c r="C10" s="54" t="s">
        <v>397</v>
      </c>
    </row>
    <row r="11" customFormat="false" ht="79.5" hidden="false" customHeight="true" outlineLevel="0" collapsed="false">
      <c r="A11" s="53" t="s">
        <v>398</v>
      </c>
      <c r="B11" s="54" t="s">
        <v>399</v>
      </c>
      <c r="C11" s="54" t="s">
        <v>400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2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401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402</v>
      </c>
      <c r="B2" s="2"/>
      <c r="C2" s="2"/>
      <c r="D2" s="2"/>
      <c r="E2" s="2"/>
    </row>
    <row r="4" customFormat="false" ht="27.75" hidden="false" customHeight="true" outlineLevel="0" collapsed="false">
      <c r="A4" s="6" t="s">
        <v>403</v>
      </c>
      <c r="B4" s="6" t="s">
        <v>404</v>
      </c>
      <c r="C4" s="6" t="s">
        <v>405</v>
      </c>
      <c r="D4" s="6" t="s">
        <v>406</v>
      </c>
      <c r="E4" s="6" t="s">
        <v>407</v>
      </c>
    </row>
    <row r="5" customFormat="false" ht="21.75" hidden="false" customHeight="true" outlineLevel="0" collapsed="false">
      <c r="A5" s="55" t="s">
        <v>408</v>
      </c>
      <c r="B5" s="55"/>
      <c r="C5" s="55"/>
      <c r="D5" s="55"/>
      <c r="E5" s="55"/>
    </row>
    <row r="6" customFormat="false" ht="21.75" hidden="false" customHeight="true" outlineLevel="0" collapsed="false">
      <c r="A6" s="54" t="s">
        <v>409</v>
      </c>
      <c r="B6" s="56" t="n">
        <v>30</v>
      </c>
      <c r="C6" s="56" t="n">
        <v>0</v>
      </c>
      <c r="D6" s="56" t="n">
        <f aca="false">B6+C6</f>
        <v>30</v>
      </c>
      <c r="E6" s="54" t="s">
        <v>410</v>
      </c>
    </row>
    <row r="7" customFormat="false" ht="21.75" hidden="false" customHeight="true" outlineLevel="0" collapsed="false">
      <c r="A7" s="54" t="s">
        <v>411</v>
      </c>
      <c r="B7" s="56" t="n">
        <v>0</v>
      </c>
      <c r="C7" s="56" t="n">
        <v>5</v>
      </c>
      <c r="D7" s="56" t="n">
        <f aca="false">B7+C7</f>
        <v>5</v>
      </c>
      <c r="E7" s="54" t="s">
        <v>412</v>
      </c>
    </row>
    <row r="8" customFormat="false" ht="21.75" hidden="false" customHeight="true" outlineLevel="0" collapsed="false">
      <c r="A8" s="54" t="s">
        <v>413</v>
      </c>
      <c r="B8" s="56" t="n">
        <v>0</v>
      </c>
      <c r="C8" s="56" t="n">
        <v>5</v>
      </c>
      <c r="D8" s="56" t="n">
        <f aca="false">B8+C8</f>
        <v>5</v>
      </c>
      <c r="E8" s="54" t="s">
        <v>414</v>
      </c>
    </row>
    <row r="9" customFormat="false" ht="21.75" hidden="false" customHeight="true" outlineLevel="0" collapsed="false">
      <c r="A9" s="54" t="s">
        <v>415</v>
      </c>
      <c r="B9" s="56" t="n">
        <v>0</v>
      </c>
      <c r="C9" s="56" t="n">
        <v>0</v>
      </c>
      <c r="D9" s="56" t="n">
        <f aca="false">B9+C9</f>
        <v>0</v>
      </c>
      <c r="E9" s="54" t="s">
        <v>416</v>
      </c>
    </row>
    <row r="11" customFormat="false" ht="21.75" hidden="false" customHeight="true" outlineLevel="0" collapsed="false">
      <c r="A11" s="55" t="s">
        <v>417</v>
      </c>
      <c r="B11" s="55"/>
      <c r="C11" s="55"/>
      <c r="D11" s="55"/>
      <c r="E11" s="55"/>
    </row>
    <row r="12" customFormat="false" ht="21.75" hidden="false" customHeight="true" outlineLevel="0" collapsed="false">
      <c r="A12" s="54" t="s">
        <v>418</v>
      </c>
      <c r="B12" s="56" t="n">
        <v>30</v>
      </c>
      <c r="C12" s="56" t="n">
        <v>20</v>
      </c>
      <c r="D12" s="56" t="n">
        <f aca="false">B12+C12</f>
        <v>50</v>
      </c>
      <c r="E12" s="54" t="s">
        <v>419</v>
      </c>
    </row>
    <row r="13" customFormat="false" ht="21.75" hidden="false" customHeight="true" outlineLevel="0" collapsed="false">
      <c r="A13" s="54" t="s">
        <v>420</v>
      </c>
      <c r="B13" s="56" t="n">
        <v>0</v>
      </c>
      <c r="C13" s="56" t="n">
        <v>25</v>
      </c>
      <c r="D13" s="56" t="n">
        <f aca="false">B13+C13</f>
        <v>25</v>
      </c>
      <c r="E13" s="54" t="s">
        <v>421</v>
      </c>
    </row>
    <row r="14" customFormat="false" ht="21.75" hidden="false" customHeight="true" outlineLevel="0" collapsed="false">
      <c r="A14" s="54" t="s">
        <v>422</v>
      </c>
      <c r="B14" s="56" t="n">
        <v>0</v>
      </c>
      <c r="C14" s="56" t="n">
        <v>150</v>
      </c>
      <c r="D14" s="56" t="n">
        <f aca="false">B14+C14</f>
        <v>150</v>
      </c>
      <c r="E14" s="54" t="s">
        <v>423</v>
      </c>
    </row>
    <row r="15" customFormat="false" ht="21.75" hidden="false" customHeight="true" outlineLevel="0" collapsed="false">
      <c r="A15" s="54" t="s">
        <v>424</v>
      </c>
      <c r="B15" s="56" t="n">
        <v>0</v>
      </c>
      <c r="C15" s="56" t="n">
        <v>30</v>
      </c>
      <c r="D15" s="56" t="n">
        <f aca="false">B15+C15</f>
        <v>30</v>
      </c>
      <c r="E15" s="54" t="s">
        <v>425</v>
      </c>
    </row>
    <row r="16" customFormat="false" ht="21.75" hidden="false" customHeight="true" outlineLevel="0" collapsed="false">
      <c r="A16" s="54" t="s">
        <v>426</v>
      </c>
      <c r="B16" s="56" t="n">
        <v>0</v>
      </c>
      <c r="C16" s="56" t="n">
        <v>20</v>
      </c>
      <c r="D16" s="56" t="n">
        <f aca="false">B16+C16</f>
        <v>20</v>
      </c>
      <c r="E16" s="54" t="s">
        <v>427</v>
      </c>
    </row>
    <row r="18" customFormat="false" ht="21.75" hidden="false" customHeight="true" outlineLevel="0" collapsed="false">
      <c r="A18" s="55" t="s">
        <v>428</v>
      </c>
      <c r="B18" s="55"/>
      <c r="C18" s="55"/>
      <c r="D18" s="55"/>
      <c r="E18" s="55"/>
    </row>
    <row r="19" customFormat="false" ht="21.75" hidden="false" customHeight="true" outlineLevel="0" collapsed="false">
      <c r="A19" s="54" t="s">
        <v>429</v>
      </c>
      <c r="B19" s="56" t="n">
        <v>100</v>
      </c>
      <c r="C19" s="56" t="n">
        <v>0</v>
      </c>
      <c r="D19" s="56" t="n">
        <f aca="false">B19+C19</f>
        <v>100</v>
      </c>
      <c r="E19" s="54" t="s">
        <v>430</v>
      </c>
    </row>
    <row r="20" customFormat="false" ht="21.75" hidden="false" customHeight="true" outlineLevel="0" collapsed="false">
      <c r="A20" s="54" t="s">
        <v>431</v>
      </c>
      <c r="B20" s="56" t="n">
        <v>200</v>
      </c>
      <c r="C20" s="56" t="n">
        <v>0</v>
      </c>
      <c r="D20" s="56" t="n">
        <f aca="false">B20+C20</f>
        <v>200</v>
      </c>
      <c r="E20" s="54" t="s">
        <v>432</v>
      </c>
    </row>
    <row r="22" customFormat="false" ht="21.75" hidden="false" customHeight="true" outlineLevel="0" collapsed="false">
      <c r="A22" s="55" t="s">
        <v>433</v>
      </c>
      <c r="B22" s="55"/>
      <c r="C22" s="55"/>
      <c r="D22" s="55"/>
      <c r="E22" s="55"/>
    </row>
    <row r="23" customFormat="false" ht="21.75" hidden="false" customHeight="true" outlineLevel="0" collapsed="false">
      <c r="A23" s="54" t="s">
        <v>434</v>
      </c>
      <c r="B23" s="56" t="n">
        <v>40</v>
      </c>
      <c r="C23" s="56" t="n">
        <v>30</v>
      </c>
      <c r="D23" s="56" t="n">
        <f aca="false">B23+C23</f>
        <v>70</v>
      </c>
      <c r="E23" s="54" t="s">
        <v>435</v>
      </c>
    </row>
    <row r="25" customFormat="false" ht="15" hidden="false" customHeight="false" outlineLevel="0" collapsed="false">
      <c r="A25" s="32" t="s">
        <v>436</v>
      </c>
      <c r="B25" s="57" t="n">
        <f aca="false">SUM(B5:B24)</f>
        <v>400</v>
      </c>
      <c r="C25" s="57" t="n">
        <f aca="false">SUM(C5:C24)</f>
        <v>285</v>
      </c>
      <c r="D25" s="57" t="n">
        <f aca="false">B25+C25</f>
        <v>685</v>
      </c>
      <c r="E25" s="58"/>
    </row>
    <row r="27" customFormat="false" ht="15" hidden="false" customHeight="false" outlineLevel="0" collapsed="false">
      <c r="A27" s="59" t="s">
        <v>437</v>
      </c>
    </row>
    <row r="28" customFormat="false" ht="15" hidden="false" customHeight="false" outlineLevel="0" collapsed="false">
      <c r="A28" s="2" t="s">
        <v>438</v>
      </c>
      <c r="B28" s="2"/>
      <c r="C28" s="2"/>
      <c r="D28" s="2"/>
      <c r="E28" s="2"/>
    </row>
    <row r="29" customFormat="false" ht="15" hidden="false" customHeight="false" outlineLevel="0" collapsed="false">
      <c r="A29" s="2" t="s">
        <v>439</v>
      </c>
      <c r="B29" s="2"/>
      <c r="C29" s="2"/>
      <c r="D29" s="2"/>
      <c r="E29" s="2"/>
    </row>
    <row r="30" customFormat="false" ht="15" hidden="false" customHeight="false" outlineLevel="0" collapsed="false">
      <c r="A30" s="2" t="s">
        <v>440</v>
      </c>
      <c r="B30" s="2"/>
      <c r="C30" s="2"/>
      <c r="D30" s="2"/>
      <c r="E30" s="2"/>
    </row>
  </sheetData>
  <mergeCells count="9">
    <mergeCell ref="A1:E1"/>
    <mergeCell ref="A2:E2"/>
    <mergeCell ref="A5:E5"/>
    <mergeCell ref="A11:E11"/>
    <mergeCell ref="A18:E18"/>
    <mergeCell ref="A22:E22"/>
    <mergeCell ref="A28:E28"/>
    <mergeCell ref="A29:E29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441</v>
      </c>
      <c r="B1" s="1"/>
      <c r="C1" s="1"/>
      <c r="D1" s="1"/>
    </row>
    <row r="2" customFormat="false" ht="15" hidden="false" customHeight="false" outlineLevel="0" collapsed="false">
      <c r="A2" s="2" t="s">
        <v>442</v>
      </c>
      <c r="B2" s="2"/>
      <c r="C2" s="2"/>
      <c r="D2" s="2"/>
    </row>
    <row r="4" customFormat="false" ht="27.75" hidden="false" customHeight="true" outlineLevel="0" collapsed="false">
      <c r="A4" s="6" t="s">
        <v>443</v>
      </c>
      <c r="B4" s="6" t="s">
        <v>444</v>
      </c>
      <c r="C4" s="6" t="s">
        <v>445</v>
      </c>
      <c r="D4" s="6" t="s">
        <v>69</v>
      </c>
    </row>
    <row r="5" customFormat="false" ht="36" hidden="false" customHeight="true" outlineLevel="0" collapsed="false">
      <c r="A5" s="40" t="s">
        <v>446</v>
      </c>
      <c r="B5" s="41" t="s">
        <v>447</v>
      </c>
      <c r="C5" s="41" t="s">
        <v>448</v>
      </c>
      <c r="D5" s="41" t="s">
        <v>77</v>
      </c>
    </row>
    <row r="6" customFormat="false" ht="36" hidden="false" customHeight="true" outlineLevel="0" collapsed="false">
      <c r="A6" s="40" t="s">
        <v>449</v>
      </c>
      <c r="B6" s="41" t="s">
        <v>450</v>
      </c>
      <c r="C6" s="41" t="s">
        <v>451</v>
      </c>
      <c r="D6" s="41" t="s">
        <v>77</v>
      </c>
    </row>
    <row r="7" customFormat="false" ht="36" hidden="false" customHeight="true" outlineLevel="0" collapsed="false">
      <c r="A7" s="40" t="s">
        <v>452</v>
      </c>
      <c r="B7" s="41" t="s">
        <v>453</v>
      </c>
      <c r="C7" s="41" t="s">
        <v>454</v>
      </c>
      <c r="D7" s="41" t="s">
        <v>77</v>
      </c>
    </row>
    <row r="8" customFormat="false" ht="36" hidden="false" customHeight="true" outlineLevel="0" collapsed="false">
      <c r="A8" s="40" t="s">
        <v>455</v>
      </c>
      <c r="B8" s="41" t="s">
        <v>456</v>
      </c>
      <c r="C8" s="41" t="s">
        <v>454</v>
      </c>
      <c r="D8" s="41" t="s">
        <v>77</v>
      </c>
    </row>
    <row r="9" customFormat="false" ht="36" hidden="false" customHeight="true" outlineLevel="0" collapsed="false">
      <c r="A9" s="40" t="s">
        <v>457</v>
      </c>
      <c r="B9" s="41" t="s">
        <v>458</v>
      </c>
      <c r="C9" s="41" t="s">
        <v>454</v>
      </c>
      <c r="D9" s="41" t="s">
        <v>77</v>
      </c>
    </row>
    <row r="10" customFormat="false" ht="36" hidden="false" customHeight="true" outlineLevel="0" collapsed="false">
      <c r="A10" s="40" t="s">
        <v>459</v>
      </c>
      <c r="B10" s="41" t="s">
        <v>460</v>
      </c>
      <c r="C10" s="41" t="s">
        <v>461</v>
      </c>
      <c r="D10" s="41" t="s">
        <v>77</v>
      </c>
    </row>
    <row r="11" customFormat="false" ht="36" hidden="false" customHeight="true" outlineLevel="0" collapsed="false">
      <c r="A11" s="40" t="s">
        <v>462</v>
      </c>
      <c r="B11" s="41" t="s">
        <v>463</v>
      </c>
      <c r="C11" s="41" t="s">
        <v>451</v>
      </c>
      <c r="D11" s="41" t="s">
        <v>77</v>
      </c>
    </row>
    <row r="12" customFormat="false" ht="36" hidden="false" customHeight="true" outlineLevel="0" collapsed="false">
      <c r="A12" s="40" t="s">
        <v>464</v>
      </c>
      <c r="B12" s="41" t="s">
        <v>465</v>
      </c>
      <c r="C12" s="41" t="s">
        <v>454</v>
      </c>
      <c r="D12" s="41" t="s">
        <v>77</v>
      </c>
    </row>
    <row r="13" customFormat="false" ht="36" hidden="false" customHeight="true" outlineLevel="0" collapsed="false">
      <c r="A13" s="40" t="s">
        <v>466</v>
      </c>
      <c r="B13" s="41" t="s">
        <v>467</v>
      </c>
      <c r="C13" s="41" t="s">
        <v>454</v>
      </c>
      <c r="D13" s="41" t="s">
        <v>77</v>
      </c>
    </row>
    <row r="14" customFormat="false" ht="36" hidden="false" customHeight="true" outlineLevel="0" collapsed="false">
      <c r="A14" s="40" t="s">
        <v>468</v>
      </c>
      <c r="B14" s="41" t="s">
        <v>469</v>
      </c>
      <c r="C14" s="41" t="s">
        <v>448</v>
      </c>
      <c r="D14" s="41" t="s">
        <v>77</v>
      </c>
    </row>
    <row r="15" customFormat="false" ht="36" hidden="false" customHeight="true" outlineLevel="0" collapsed="false">
      <c r="A15" s="40" t="s">
        <v>470</v>
      </c>
      <c r="B15" s="41" t="s">
        <v>471</v>
      </c>
      <c r="C15" s="41" t="s">
        <v>448</v>
      </c>
      <c r="D15" s="41" t="s">
        <v>77</v>
      </c>
    </row>
    <row r="16" customFormat="false" ht="36" hidden="false" customHeight="true" outlineLevel="0" collapsed="false">
      <c r="A16" s="40" t="s">
        <v>472</v>
      </c>
      <c r="B16" s="41" t="s">
        <v>473</v>
      </c>
      <c r="C16" s="41" t="s">
        <v>454</v>
      </c>
      <c r="D16" s="41" t="s">
        <v>77</v>
      </c>
    </row>
    <row r="17" customFormat="false" ht="36" hidden="false" customHeight="true" outlineLevel="0" collapsed="false">
      <c r="A17" s="40" t="s">
        <v>474</v>
      </c>
      <c r="B17" s="41" t="s">
        <v>475</v>
      </c>
      <c r="C17" s="41" t="s">
        <v>451</v>
      </c>
      <c r="D17" s="41" t="s">
        <v>77</v>
      </c>
    </row>
    <row r="18" customFormat="false" ht="36" hidden="false" customHeight="true" outlineLevel="0" collapsed="false">
      <c r="A18" s="40" t="s">
        <v>476</v>
      </c>
      <c r="B18" s="41" t="s">
        <v>477</v>
      </c>
      <c r="C18" s="41" t="s">
        <v>454</v>
      </c>
      <c r="D18" s="41" t="s">
        <v>77</v>
      </c>
    </row>
    <row r="19" customFormat="false" ht="36" hidden="false" customHeight="true" outlineLevel="0" collapsed="false">
      <c r="A19" s="40" t="s">
        <v>478</v>
      </c>
      <c r="B19" s="41" t="s">
        <v>479</v>
      </c>
      <c r="C19" s="41" t="s">
        <v>448</v>
      </c>
      <c r="D19" s="41" t="s">
        <v>77</v>
      </c>
    </row>
    <row r="20" customFormat="false" ht="36" hidden="false" customHeight="true" outlineLevel="0" collapsed="false">
      <c r="A20" s="40" t="s">
        <v>480</v>
      </c>
      <c r="B20" s="41" t="s">
        <v>481</v>
      </c>
      <c r="C20" s="41" t="s">
        <v>448</v>
      </c>
      <c r="D20" s="41" t="s">
        <v>77</v>
      </c>
    </row>
    <row r="21" customFormat="false" ht="36" hidden="false" customHeight="true" outlineLevel="0" collapsed="false">
      <c r="A21" s="40" t="s">
        <v>482</v>
      </c>
      <c r="B21" s="41" t="s">
        <v>483</v>
      </c>
      <c r="C21" s="41" t="s">
        <v>454</v>
      </c>
      <c r="D21" s="41" t="s">
        <v>77</v>
      </c>
    </row>
    <row r="22" customFormat="false" ht="36" hidden="false" customHeight="true" outlineLevel="0" collapsed="false">
      <c r="A22" s="40" t="s">
        <v>484</v>
      </c>
      <c r="B22" s="41" t="s">
        <v>485</v>
      </c>
      <c r="C22" s="41" t="s">
        <v>454</v>
      </c>
      <c r="D22" s="41" t="s">
        <v>77</v>
      </c>
    </row>
    <row r="23" customFormat="false" ht="36" hidden="false" customHeight="true" outlineLevel="0" collapsed="false">
      <c r="A23" s="40" t="s">
        <v>486</v>
      </c>
      <c r="B23" s="41" t="s">
        <v>487</v>
      </c>
      <c r="C23" s="41" t="s">
        <v>451</v>
      </c>
      <c r="D23" s="41" t="s">
        <v>77</v>
      </c>
    </row>
    <row r="24" customFormat="false" ht="36" hidden="false" customHeight="true" outlineLevel="0" collapsed="false">
      <c r="A24" s="40" t="s">
        <v>488</v>
      </c>
      <c r="B24" s="41" t="s">
        <v>489</v>
      </c>
      <c r="C24" s="41" t="s">
        <v>451</v>
      </c>
      <c r="D24" s="41" t="s">
        <v>77</v>
      </c>
    </row>
    <row r="25" customFormat="false" ht="36" hidden="false" customHeight="true" outlineLevel="0" collapsed="false">
      <c r="A25" s="40" t="s">
        <v>490</v>
      </c>
      <c r="B25" s="41" t="s">
        <v>491</v>
      </c>
      <c r="C25" s="41" t="s">
        <v>448</v>
      </c>
      <c r="D25" s="41" t="s">
        <v>77</v>
      </c>
    </row>
    <row r="26" customFormat="false" ht="36" hidden="false" customHeight="true" outlineLevel="0" collapsed="false">
      <c r="A26" s="40" t="s">
        <v>492</v>
      </c>
      <c r="B26" s="41" t="s">
        <v>493</v>
      </c>
      <c r="C26" s="41" t="s">
        <v>448</v>
      </c>
      <c r="D26" s="41" t="s">
        <v>77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27.75" hidden="false" customHeight="true" outlineLevel="0" collapsed="false">
      <c r="A1" s="1" t="s">
        <v>494</v>
      </c>
      <c r="B1" s="1"/>
      <c r="C1" s="1"/>
      <c r="D1" s="1"/>
    </row>
    <row r="2" customFormat="false" ht="19.5" hidden="false" customHeight="true" outlineLevel="0" collapsed="false">
      <c r="A2" s="2" t="s">
        <v>495</v>
      </c>
      <c r="B2" s="2"/>
      <c r="C2" s="2"/>
      <c r="D2" s="2"/>
    </row>
    <row r="3" customFormat="false" ht="27.75" hidden="false" customHeight="true" outlineLevel="0" collapsed="false">
      <c r="A3" s="6" t="s">
        <v>496</v>
      </c>
      <c r="B3" s="6" t="s">
        <v>454</v>
      </c>
      <c r="C3" s="6" t="s">
        <v>451</v>
      </c>
      <c r="D3" s="6" t="s">
        <v>497</v>
      </c>
    </row>
    <row r="4" customFormat="false" ht="24" hidden="false" customHeight="true" outlineLevel="0" collapsed="false">
      <c r="A4" s="54" t="s">
        <v>498</v>
      </c>
      <c r="B4" s="60" t="s">
        <v>499</v>
      </c>
      <c r="C4" s="60" t="s">
        <v>500</v>
      </c>
      <c r="D4" s="60"/>
    </row>
    <row r="5" customFormat="false" ht="24" hidden="false" customHeight="true" outlineLevel="0" collapsed="false">
      <c r="A5" s="54" t="s">
        <v>501</v>
      </c>
      <c r="B5" s="60"/>
      <c r="C5" s="60" t="s">
        <v>499</v>
      </c>
      <c r="D5" s="60"/>
    </row>
    <row r="6" customFormat="false" ht="24" hidden="false" customHeight="true" outlineLevel="0" collapsed="false">
      <c r="A6" s="54" t="s">
        <v>502</v>
      </c>
      <c r="B6" s="60" t="s">
        <v>500</v>
      </c>
      <c r="C6" s="60" t="s">
        <v>499</v>
      </c>
      <c r="D6" s="60"/>
    </row>
    <row r="7" customFormat="false" ht="24" hidden="false" customHeight="true" outlineLevel="0" collapsed="false">
      <c r="A7" s="54" t="s">
        <v>503</v>
      </c>
      <c r="B7" s="60" t="s">
        <v>500</v>
      </c>
      <c r="C7" s="60" t="s">
        <v>499</v>
      </c>
      <c r="D7" s="60"/>
    </row>
    <row r="8" customFormat="false" ht="24" hidden="false" customHeight="true" outlineLevel="0" collapsed="false">
      <c r="A8" s="54" t="s">
        <v>504</v>
      </c>
      <c r="B8" s="60"/>
      <c r="C8" s="60" t="s">
        <v>499</v>
      </c>
      <c r="D8" s="60"/>
    </row>
    <row r="9" customFormat="false" ht="24" hidden="false" customHeight="true" outlineLevel="0" collapsed="false">
      <c r="A9" s="54" t="s">
        <v>505</v>
      </c>
      <c r="B9" s="60" t="s">
        <v>506</v>
      </c>
      <c r="C9" s="60" t="s">
        <v>499</v>
      </c>
      <c r="D9" s="60"/>
    </row>
    <row r="10" customFormat="false" ht="24" hidden="false" customHeight="true" outlineLevel="0" collapsed="false">
      <c r="A10" s="54" t="s">
        <v>507</v>
      </c>
      <c r="B10" s="60" t="s">
        <v>499</v>
      </c>
      <c r="C10" s="60"/>
      <c r="D10" s="60"/>
    </row>
    <row r="11" customFormat="false" ht="24" hidden="false" customHeight="true" outlineLevel="0" collapsed="false">
      <c r="A11" s="54" t="s">
        <v>508</v>
      </c>
      <c r="B11" s="60" t="s">
        <v>499</v>
      </c>
      <c r="C11" s="60"/>
      <c r="D11" s="60"/>
    </row>
    <row r="12" customFormat="false" ht="24" hidden="false" customHeight="true" outlineLevel="0" collapsed="false">
      <c r="A12" s="54" t="s">
        <v>509</v>
      </c>
      <c r="B12" s="60" t="s">
        <v>499</v>
      </c>
      <c r="C12" s="60"/>
      <c r="D12" s="60"/>
    </row>
    <row r="13" customFormat="false" ht="24" hidden="false" customHeight="true" outlineLevel="0" collapsed="false">
      <c r="A13" s="54" t="s">
        <v>510</v>
      </c>
      <c r="B13" s="60" t="s">
        <v>499</v>
      </c>
      <c r="C13" s="60" t="s">
        <v>506</v>
      </c>
      <c r="D13" s="60"/>
    </row>
    <row r="14" customFormat="false" ht="24" hidden="false" customHeight="true" outlineLevel="0" collapsed="false">
      <c r="A14" s="54" t="s">
        <v>511</v>
      </c>
      <c r="B14" s="60" t="s">
        <v>499</v>
      </c>
      <c r="C14" s="60"/>
      <c r="D14" s="60"/>
    </row>
    <row r="15" customFormat="false" ht="24" hidden="false" customHeight="true" outlineLevel="0" collapsed="false">
      <c r="A15" s="54" t="s">
        <v>512</v>
      </c>
      <c r="B15" s="60" t="s">
        <v>499</v>
      </c>
      <c r="C15" s="60"/>
      <c r="D15" s="60"/>
    </row>
    <row r="16" customFormat="false" ht="24" hidden="false" customHeight="true" outlineLevel="0" collapsed="false">
      <c r="A16" s="54" t="s">
        <v>513</v>
      </c>
      <c r="B16" s="60" t="s">
        <v>499</v>
      </c>
      <c r="C16" s="60" t="s">
        <v>506</v>
      </c>
      <c r="D16" s="60"/>
    </row>
    <row r="17" customFormat="false" ht="24" hidden="false" customHeight="true" outlineLevel="0" collapsed="false">
      <c r="A17" s="54" t="s">
        <v>514</v>
      </c>
      <c r="B17" s="60" t="s">
        <v>500</v>
      </c>
      <c r="C17" s="60" t="s">
        <v>499</v>
      </c>
      <c r="D17" s="60"/>
    </row>
    <row r="18" customFormat="false" ht="24" hidden="false" customHeight="true" outlineLevel="0" collapsed="false">
      <c r="A18" s="54" t="s">
        <v>515</v>
      </c>
      <c r="B18" s="60" t="s">
        <v>499</v>
      </c>
      <c r="C18" s="60" t="s">
        <v>506</v>
      </c>
      <c r="D18" s="60"/>
    </row>
    <row r="19" customFormat="false" ht="24" hidden="false" customHeight="true" outlineLevel="0" collapsed="false">
      <c r="A19" s="54" t="s">
        <v>516</v>
      </c>
      <c r="B19" s="60" t="s">
        <v>499</v>
      </c>
      <c r="C19" s="60"/>
      <c r="D19" s="60"/>
    </row>
    <row r="20" customFormat="false" ht="24" hidden="false" customHeight="true" outlineLevel="0" collapsed="false">
      <c r="A20" s="54" t="s">
        <v>517</v>
      </c>
      <c r="B20" s="60" t="s">
        <v>499</v>
      </c>
      <c r="C20" s="60"/>
      <c r="D20" s="60"/>
    </row>
    <row r="21" customFormat="false" ht="24" hidden="false" customHeight="true" outlineLevel="0" collapsed="false">
      <c r="A21" s="54" t="s">
        <v>518</v>
      </c>
      <c r="B21" s="60"/>
      <c r="C21" s="60"/>
      <c r="D21" s="60" t="s">
        <v>519</v>
      </c>
    </row>
    <row r="22" customFormat="false" ht="24" hidden="false" customHeight="true" outlineLevel="0" collapsed="false">
      <c r="A22" s="54" t="s">
        <v>520</v>
      </c>
      <c r="B22" s="60"/>
      <c r="C22" s="60"/>
      <c r="D22" s="60" t="s">
        <v>519</v>
      </c>
    </row>
    <row r="23" customFormat="false" ht="24" hidden="false" customHeight="true" outlineLevel="0" collapsed="false">
      <c r="A23" s="54" t="s">
        <v>521</v>
      </c>
      <c r="B23" s="60"/>
      <c r="C23" s="60"/>
      <c r="D23" s="60" t="s">
        <v>519</v>
      </c>
    </row>
    <row r="24" customFormat="false" ht="24" hidden="false" customHeight="true" outlineLevel="0" collapsed="false">
      <c r="A24" s="54" t="s">
        <v>522</v>
      </c>
      <c r="B24" s="60" t="s">
        <v>499</v>
      </c>
      <c r="C24" s="60" t="s">
        <v>506</v>
      </c>
      <c r="D24" s="60" t="s">
        <v>519</v>
      </c>
    </row>
    <row r="25" customFormat="false" ht="24" hidden="false" customHeight="true" outlineLevel="0" collapsed="false">
      <c r="A25" s="54" t="s">
        <v>523</v>
      </c>
      <c r="B25" s="60"/>
      <c r="C25" s="60"/>
      <c r="D25" s="60" t="s">
        <v>519</v>
      </c>
    </row>
    <row r="26" customFormat="false" ht="24" hidden="false" customHeight="true" outlineLevel="0" collapsed="false">
      <c r="A26" s="54" t="s">
        <v>524</v>
      </c>
      <c r="B26" s="60"/>
      <c r="C26" s="60"/>
      <c r="D26" s="60" t="s">
        <v>519</v>
      </c>
    </row>
    <row r="27" customFormat="false" ht="24" hidden="false" customHeight="true" outlineLevel="0" collapsed="false">
      <c r="A27" s="54" t="s">
        <v>525</v>
      </c>
      <c r="B27" s="60"/>
      <c r="C27" s="60"/>
      <c r="D27" s="60" t="s">
        <v>519</v>
      </c>
    </row>
    <row r="28" customFormat="false" ht="24" hidden="false" customHeight="true" outlineLevel="0" collapsed="false">
      <c r="A28" s="54" t="s">
        <v>526</v>
      </c>
      <c r="B28" s="60"/>
      <c r="C28" s="60"/>
      <c r="D28" s="60" t="s">
        <v>519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50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527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6" t="s">
        <v>528</v>
      </c>
      <c r="B3" s="6" t="s">
        <v>529</v>
      </c>
      <c r="C3" s="6" t="s">
        <v>530</v>
      </c>
      <c r="D3" s="6" t="s">
        <v>531</v>
      </c>
      <c r="E3" s="6" t="s">
        <v>532</v>
      </c>
      <c r="F3" s="6" t="s">
        <v>445</v>
      </c>
    </row>
    <row r="4" customFormat="false" ht="57.75" hidden="false" customHeight="true" outlineLevel="0" collapsed="false">
      <c r="A4" s="61" t="n">
        <v>1</v>
      </c>
      <c r="B4" s="54" t="s">
        <v>533</v>
      </c>
      <c r="C4" s="60" t="s">
        <v>534</v>
      </c>
      <c r="D4" s="42" t="s">
        <v>535</v>
      </c>
      <c r="E4" s="54" t="s">
        <v>536</v>
      </c>
      <c r="F4" s="60" t="s">
        <v>451</v>
      </c>
    </row>
    <row r="5" customFormat="false" ht="57.75" hidden="false" customHeight="true" outlineLevel="0" collapsed="false">
      <c r="A5" s="61" t="n">
        <v>2</v>
      </c>
      <c r="B5" s="54" t="s">
        <v>537</v>
      </c>
      <c r="C5" s="60" t="s">
        <v>534</v>
      </c>
      <c r="D5" s="42" t="s">
        <v>535</v>
      </c>
      <c r="E5" s="54" t="s">
        <v>538</v>
      </c>
      <c r="F5" s="60" t="s">
        <v>454</v>
      </c>
    </row>
    <row r="6" customFormat="false" ht="57.75" hidden="false" customHeight="true" outlineLevel="0" collapsed="false">
      <c r="A6" s="61" t="n">
        <v>3</v>
      </c>
      <c r="B6" s="54" t="s">
        <v>539</v>
      </c>
      <c r="C6" s="60" t="s">
        <v>534</v>
      </c>
      <c r="D6" s="42" t="s">
        <v>535</v>
      </c>
      <c r="E6" s="54" t="s">
        <v>540</v>
      </c>
      <c r="F6" s="60" t="s">
        <v>454</v>
      </c>
    </row>
    <row r="7" customFormat="false" ht="57.75" hidden="false" customHeight="true" outlineLevel="0" collapsed="false">
      <c r="A7" s="61" t="n">
        <v>4</v>
      </c>
      <c r="B7" s="54" t="s">
        <v>541</v>
      </c>
      <c r="C7" s="60" t="s">
        <v>534</v>
      </c>
      <c r="D7" s="42" t="s">
        <v>535</v>
      </c>
      <c r="E7" s="54" t="s">
        <v>542</v>
      </c>
      <c r="F7" s="60" t="s">
        <v>451</v>
      </c>
    </row>
    <row r="8" customFormat="false" ht="57.75" hidden="false" customHeight="true" outlineLevel="0" collapsed="false">
      <c r="A8" s="61" t="n">
        <v>5</v>
      </c>
      <c r="B8" s="54" t="s">
        <v>543</v>
      </c>
      <c r="C8" s="60" t="s">
        <v>535</v>
      </c>
      <c r="D8" s="42" t="s">
        <v>535</v>
      </c>
      <c r="E8" s="54" t="s">
        <v>544</v>
      </c>
      <c r="F8" s="60" t="s">
        <v>454</v>
      </c>
    </row>
    <row r="9" customFormat="false" ht="57.75" hidden="false" customHeight="true" outlineLevel="0" collapsed="false">
      <c r="A9" s="61" t="n">
        <v>6</v>
      </c>
      <c r="B9" s="54" t="s">
        <v>545</v>
      </c>
      <c r="C9" s="60" t="s">
        <v>535</v>
      </c>
      <c r="D9" s="14" t="s">
        <v>534</v>
      </c>
      <c r="E9" s="54" t="s">
        <v>546</v>
      </c>
      <c r="F9" s="60" t="s">
        <v>454</v>
      </c>
    </row>
    <row r="10" customFormat="false" ht="57.75" hidden="false" customHeight="true" outlineLevel="0" collapsed="false">
      <c r="A10" s="61" t="n">
        <v>7</v>
      </c>
      <c r="B10" s="54" t="s">
        <v>547</v>
      </c>
      <c r="C10" s="60" t="s">
        <v>548</v>
      </c>
      <c r="D10" s="42" t="s">
        <v>535</v>
      </c>
      <c r="E10" s="54" t="s">
        <v>549</v>
      </c>
      <c r="F10" s="60" t="s">
        <v>451</v>
      </c>
    </row>
    <row r="11" customFormat="false" ht="57.75" hidden="false" customHeight="true" outlineLevel="0" collapsed="false">
      <c r="A11" s="61" t="n">
        <v>8</v>
      </c>
      <c r="B11" s="54" t="s">
        <v>550</v>
      </c>
      <c r="C11" s="60" t="s">
        <v>534</v>
      </c>
      <c r="D11" s="14" t="s">
        <v>534</v>
      </c>
      <c r="E11" s="54" t="s">
        <v>551</v>
      </c>
      <c r="F11" s="60" t="s">
        <v>497</v>
      </c>
    </row>
    <row r="12" customFormat="false" ht="57.75" hidden="false" customHeight="true" outlineLevel="0" collapsed="false">
      <c r="A12" s="61" t="n">
        <v>9</v>
      </c>
      <c r="B12" s="54" t="s">
        <v>552</v>
      </c>
      <c r="C12" s="60" t="s">
        <v>548</v>
      </c>
      <c r="D12" s="42" t="s">
        <v>535</v>
      </c>
      <c r="E12" s="54" t="s">
        <v>553</v>
      </c>
      <c r="F12" s="60" t="s">
        <v>454</v>
      </c>
    </row>
    <row r="13" customFormat="false" ht="57.75" hidden="false" customHeight="true" outlineLevel="0" collapsed="false">
      <c r="A13" s="61" t="n">
        <v>10</v>
      </c>
      <c r="B13" s="54" t="s">
        <v>554</v>
      </c>
      <c r="C13" s="60" t="s">
        <v>548</v>
      </c>
      <c r="D13" s="14" t="s">
        <v>534</v>
      </c>
      <c r="E13" s="54" t="s">
        <v>555</v>
      </c>
      <c r="F13" s="60" t="s">
        <v>497</v>
      </c>
    </row>
    <row r="14" customFormat="false" ht="57.75" hidden="false" customHeight="true" outlineLevel="0" collapsed="false">
      <c r="A14" s="61" t="n">
        <v>11</v>
      </c>
      <c r="B14" s="54" t="s">
        <v>556</v>
      </c>
      <c r="C14" s="60" t="s">
        <v>548</v>
      </c>
      <c r="D14" s="42" t="s">
        <v>535</v>
      </c>
      <c r="E14" s="54" t="s">
        <v>557</v>
      </c>
      <c r="F14" s="60" t="s">
        <v>451</v>
      </c>
    </row>
    <row r="15" customFormat="false" ht="57.75" hidden="false" customHeight="true" outlineLevel="0" collapsed="false">
      <c r="A15" s="61" t="n">
        <v>12</v>
      </c>
      <c r="B15" s="54" t="s">
        <v>558</v>
      </c>
      <c r="C15" s="60" t="s">
        <v>534</v>
      </c>
      <c r="D15" s="14" t="s">
        <v>534</v>
      </c>
      <c r="E15" s="54" t="s">
        <v>559</v>
      </c>
      <c r="F15" s="60" t="s">
        <v>454</v>
      </c>
    </row>
    <row r="16" customFormat="false" ht="57.75" hidden="false" customHeight="true" outlineLevel="0" collapsed="false">
      <c r="A16" s="61" t="n">
        <v>13</v>
      </c>
      <c r="B16" s="54" t="s">
        <v>560</v>
      </c>
      <c r="C16" s="60" t="s">
        <v>535</v>
      </c>
      <c r="D16" s="14" t="s">
        <v>534</v>
      </c>
      <c r="E16" s="54" t="s">
        <v>561</v>
      </c>
      <c r="F16" s="60" t="s">
        <v>454</v>
      </c>
    </row>
    <row r="17" customFormat="false" ht="57.75" hidden="false" customHeight="true" outlineLevel="0" collapsed="false">
      <c r="A17" s="61" t="n">
        <v>14</v>
      </c>
      <c r="B17" s="54" t="s">
        <v>562</v>
      </c>
      <c r="C17" s="60" t="s">
        <v>534</v>
      </c>
      <c r="D17" s="14" t="s">
        <v>534</v>
      </c>
      <c r="E17" s="54" t="s">
        <v>563</v>
      </c>
      <c r="F17" s="60" t="s">
        <v>454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5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564</v>
      </c>
      <c r="B1" s="1"/>
      <c r="C1" s="1"/>
      <c r="D1" s="1"/>
    </row>
    <row r="2" customFormat="false" ht="15" hidden="false" customHeight="false" outlineLevel="0" collapsed="false">
      <c r="A2" s="2" t="s">
        <v>565</v>
      </c>
      <c r="B2" s="2"/>
      <c r="C2" s="2"/>
      <c r="D2" s="2"/>
    </row>
    <row r="4" customFormat="false" ht="27.75" hidden="false" customHeight="true" outlineLevel="0" collapsed="false">
      <c r="A4" s="6" t="s">
        <v>566</v>
      </c>
      <c r="B4" s="6" t="s">
        <v>567</v>
      </c>
      <c r="C4" s="6" t="s">
        <v>568</v>
      </c>
      <c r="D4" s="6" t="s">
        <v>569</v>
      </c>
    </row>
    <row r="5" customFormat="false" ht="31.5" hidden="false" customHeight="true" outlineLevel="0" collapsed="false">
      <c r="A5" s="53" t="s">
        <v>28</v>
      </c>
      <c r="B5" s="54" t="s">
        <v>570</v>
      </c>
      <c r="C5" s="54" t="s">
        <v>571</v>
      </c>
      <c r="D5" s="54" t="s">
        <v>572</v>
      </c>
    </row>
    <row r="6" customFormat="false" ht="31.5" hidden="false" customHeight="true" outlineLevel="0" collapsed="false">
      <c r="A6" s="53" t="s">
        <v>573</v>
      </c>
      <c r="B6" s="54" t="s">
        <v>574</v>
      </c>
      <c r="C6" s="54" t="s">
        <v>575</v>
      </c>
      <c r="D6" s="54" t="s">
        <v>576</v>
      </c>
    </row>
    <row r="7" customFormat="false" ht="31.5" hidden="false" customHeight="true" outlineLevel="0" collapsed="false">
      <c r="A7" s="53" t="s">
        <v>577</v>
      </c>
      <c r="B7" s="54" t="s">
        <v>574</v>
      </c>
      <c r="C7" s="54" t="s">
        <v>578</v>
      </c>
      <c r="D7" s="54" t="s">
        <v>579</v>
      </c>
    </row>
    <row r="8" customFormat="false" ht="31.5" hidden="false" customHeight="true" outlineLevel="0" collapsed="false">
      <c r="A8" s="53" t="s">
        <v>580</v>
      </c>
      <c r="B8" s="54" t="s">
        <v>574</v>
      </c>
      <c r="C8" s="54" t="s">
        <v>578</v>
      </c>
      <c r="D8" s="54" t="s">
        <v>581</v>
      </c>
    </row>
    <row r="9" customFormat="false" ht="31.5" hidden="false" customHeight="true" outlineLevel="0" collapsed="false">
      <c r="A9" s="53" t="s">
        <v>582</v>
      </c>
      <c r="B9" s="54" t="s">
        <v>583</v>
      </c>
      <c r="C9" s="54" t="s">
        <v>584</v>
      </c>
      <c r="D9" s="54" t="s">
        <v>585</v>
      </c>
    </row>
    <row r="10" customFormat="false" ht="31.5" hidden="false" customHeight="true" outlineLevel="0" collapsed="false">
      <c r="A10" s="53" t="s">
        <v>586</v>
      </c>
      <c r="B10" s="54" t="s">
        <v>587</v>
      </c>
      <c r="C10" s="54" t="s">
        <v>588</v>
      </c>
      <c r="D10" s="54" t="s">
        <v>589</v>
      </c>
    </row>
    <row r="11" customFormat="false" ht="31.5" hidden="false" customHeight="true" outlineLevel="0" collapsed="false">
      <c r="A11" s="53" t="s">
        <v>590</v>
      </c>
      <c r="B11" s="54" t="s">
        <v>591</v>
      </c>
      <c r="C11" s="54" t="s">
        <v>592</v>
      </c>
      <c r="D11" s="54" t="s">
        <v>593</v>
      </c>
    </row>
    <row r="12" customFormat="false" ht="31.5" hidden="false" customHeight="true" outlineLevel="0" collapsed="false">
      <c r="A12" s="53" t="s">
        <v>594</v>
      </c>
      <c r="B12" s="54" t="s">
        <v>595</v>
      </c>
      <c r="C12" s="54" t="s">
        <v>596</v>
      </c>
      <c r="D12" s="54" t="s">
        <v>597</v>
      </c>
    </row>
    <row r="13" customFormat="false" ht="31.5" hidden="false" customHeight="true" outlineLevel="0" collapsed="false">
      <c r="A13" s="53" t="s">
        <v>598</v>
      </c>
      <c r="B13" s="54" t="s">
        <v>599</v>
      </c>
      <c r="C13" s="54" t="s">
        <v>599</v>
      </c>
      <c r="D13" s="54" t="s">
        <v>600</v>
      </c>
    </row>
    <row r="14" customFormat="false" ht="31.5" hidden="false" customHeight="true" outlineLevel="0" collapsed="false">
      <c r="A14" s="53" t="s">
        <v>601</v>
      </c>
      <c r="B14" s="54" t="s">
        <v>602</v>
      </c>
      <c r="C14" s="54" t="s">
        <v>603</v>
      </c>
      <c r="D14" s="54" t="s">
        <v>604</v>
      </c>
    </row>
    <row r="15" customFormat="false" ht="31.5" hidden="false" customHeight="true" outlineLevel="0" collapsed="false">
      <c r="A15" s="53" t="s">
        <v>605</v>
      </c>
      <c r="B15" s="54" t="s">
        <v>606</v>
      </c>
      <c r="C15" s="54" t="s">
        <v>607</v>
      </c>
      <c r="D15" s="54" t="s">
        <v>608</v>
      </c>
    </row>
    <row r="16" customFormat="false" ht="31.5" hidden="false" customHeight="true" outlineLevel="0" collapsed="false">
      <c r="A16" s="53" t="s">
        <v>609</v>
      </c>
      <c r="B16" s="54" t="s">
        <v>610</v>
      </c>
      <c r="C16" s="54" t="s">
        <v>611</v>
      </c>
      <c r="D16" s="54" t="s">
        <v>612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613</v>
      </c>
      <c r="B1" s="1"/>
      <c r="C1" s="1"/>
      <c r="D1" s="1"/>
    </row>
    <row r="2" customFormat="false" ht="15" hidden="false" customHeight="false" outlineLevel="0" collapsed="false">
      <c r="A2" s="2" t="s">
        <v>614</v>
      </c>
      <c r="B2" s="2"/>
      <c r="C2" s="2"/>
      <c r="D2" s="2"/>
    </row>
    <row r="4" customFormat="false" ht="27.75" hidden="false" customHeight="true" outlineLevel="0" collapsed="false">
      <c r="A4" s="6" t="s">
        <v>528</v>
      </c>
      <c r="B4" s="6" t="s">
        <v>615</v>
      </c>
      <c r="C4" s="6" t="s">
        <v>69</v>
      </c>
      <c r="D4" s="6" t="s">
        <v>616</v>
      </c>
    </row>
    <row r="5" customFormat="false" ht="21.75" hidden="false" customHeight="true" outlineLevel="0" collapsed="false">
      <c r="A5" s="62"/>
      <c r="B5" s="55" t="s">
        <v>617</v>
      </c>
      <c r="C5" s="55"/>
      <c r="D5" s="55"/>
    </row>
    <row r="6" customFormat="false" ht="24" hidden="false" customHeight="true" outlineLevel="0" collapsed="false">
      <c r="A6" s="61" t="n">
        <v>1</v>
      </c>
      <c r="B6" s="54" t="s">
        <v>618</v>
      </c>
      <c r="C6" s="60" t="s">
        <v>619</v>
      </c>
      <c r="D6" s="54"/>
    </row>
    <row r="7" customFormat="false" ht="24" hidden="false" customHeight="true" outlineLevel="0" collapsed="false">
      <c r="A7" s="61" t="n">
        <v>2</v>
      </c>
      <c r="B7" s="54" t="s">
        <v>620</v>
      </c>
      <c r="C7" s="60" t="s">
        <v>619</v>
      </c>
      <c r="D7" s="54"/>
    </row>
    <row r="8" customFormat="false" ht="24" hidden="false" customHeight="true" outlineLevel="0" collapsed="false">
      <c r="A8" s="61" t="n">
        <v>3</v>
      </c>
      <c r="B8" s="54" t="s">
        <v>621</v>
      </c>
      <c r="C8" s="60" t="s">
        <v>619</v>
      </c>
      <c r="D8" s="54"/>
    </row>
    <row r="9" customFormat="false" ht="24" hidden="false" customHeight="true" outlineLevel="0" collapsed="false">
      <c r="A9" s="61" t="n">
        <v>4</v>
      </c>
      <c r="B9" s="54" t="s">
        <v>622</v>
      </c>
      <c r="C9" s="60" t="s">
        <v>619</v>
      </c>
      <c r="D9" s="54"/>
    </row>
    <row r="10" customFormat="false" ht="24" hidden="false" customHeight="true" outlineLevel="0" collapsed="false">
      <c r="A10" s="61" t="n">
        <v>5</v>
      </c>
      <c r="B10" s="54" t="s">
        <v>623</v>
      </c>
      <c r="C10" s="60" t="s">
        <v>619</v>
      </c>
      <c r="D10" s="54"/>
    </row>
    <row r="11" customFormat="false" ht="24" hidden="false" customHeight="true" outlineLevel="0" collapsed="false">
      <c r="A11" s="61" t="n">
        <v>6</v>
      </c>
      <c r="B11" s="54" t="s">
        <v>624</v>
      </c>
      <c r="C11" s="60" t="s">
        <v>619</v>
      </c>
      <c r="D11" s="54"/>
    </row>
    <row r="12" customFormat="false" ht="24" hidden="false" customHeight="true" outlineLevel="0" collapsed="false">
      <c r="A12" s="61" t="n">
        <v>7</v>
      </c>
      <c r="B12" s="54" t="s">
        <v>625</v>
      </c>
      <c r="C12" s="60" t="s">
        <v>619</v>
      </c>
      <c r="D12" s="54"/>
    </row>
    <row r="13" customFormat="false" ht="24" hidden="false" customHeight="true" outlineLevel="0" collapsed="false">
      <c r="A13" s="61" t="n">
        <v>8</v>
      </c>
      <c r="B13" s="54" t="s">
        <v>626</v>
      </c>
      <c r="C13" s="60" t="s">
        <v>619</v>
      </c>
      <c r="D13" s="54"/>
    </row>
    <row r="14" customFormat="false" ht="24" hidden="false" customHeight="true" outlineLevel="0" collapsed="false">
      <c r="A14" s="61" t="n">
        <v>9</v>
      </c>
      <c r="B14" s="54" t="s">
        <v>627</v>
      </c>
      <c r="C14" s="60" t="s">
        <v>619</v>
      </c>
      <c r="D14" s="54"/>
    </row>
    <row r="15" customFormat="false" ht="24" hidden="false" customHeight="true" outlineLevel="0" collapsed="false">
      <c r="A15" s="61" t="n">
        <v>10</v>
      </c>
      <c r="B15" s="54" t="s">
        <v>628</v>
      </c>
      <c r="C15" s="60" t="s">
        <v>619</v>
      </c>
      <c r="D15" s="54"/>
    </row>
    <row r="16" customFormat="false" ht="24" hidden="false" customHeight="true" outlineLevel="0" collapsed="false">
      <c r="A16" s="61" t="n">
        <v>11</v>
      </c>
      <c r="B16" s="54" t="s">
        <v>629</v>
      </c>
      <c r="C16" s="60" t="s">
        <v>619</v>
      </c>
      <c r="D16" s="54"/>
    </row>
    <row r="17" customFormat="false" ht="24" hidden="false" customHeight="true" outlineLevel="0" collapsed="false">
      <c r="A17" s="61" t="n">
        <v>12</v>
      </c>
      <c r="B17" s="54" t="s">
        <v>630</v>
      </c>
      <c r="C17" s="60" t="s">
        <v>619</v>
      </c>
      <c r="D17" s="54"/>
    </row>
    <row r="18" customFormat="false" ht="24" hidden="false" customHeight="true" outlineLevel="0" collapsed="false">
      <c r="A18" s="61" t="n">
        <v>13</v>
      </c>
      <c r="B18" s="54" t="s">
        <v>631</v>
      </c>
      <c r="C18" s="60" t="s">
        <v>619</v>
      </c>
      <c r="D18" s="54"/>
    </row>
    <row r="19" customFormat="false" ht="24" hidden="false" customHeight="true" outlineLevel="0" collapsed="false">
      <c r="A19" s="61" t="n">
        <v>14</v>
      </c>
      <c r="B19" s="54" t="s">
        <v>632</v>
      </c>
      <c r="C19" s="60" t="s">
        <v>619</v>
      </c>
      <c r="D19" s="54"/>
    </row>
    <row r="20" customFormat="false" ht="24" hidden="false" customHeight="true" outlineLevel="0" collapsed="false">
      <c r="A20" s="61" t="n">
        <v>15</v>
      </c>
      <c r="B20" s="54" t="s">
        <v>633</v>
      </c>
      <c r="C20" s="60" t="s">
        <v>619</v>
      </c>
      <c r="D20" s="54"/>
    </row>
    <row r="21" customFormat="false" ht="21.75" hidden="false" customHeight="true" outlineLevel="0" collapsed="false">
      <c r="A21" s="62"/>
      <c r="B21" s="55" t="s">
        <v>634</v>
      </c>
      <c r="C21" s="55"/>
      <c r="D21" s="55"/>
    </row>
    <row r="22" customFormat="false" ht="24" hidden="false" customHeight="true" outlineLevel="0" collapsed="false">
      <c r="A22" s="61" t="n">
        <v>16</v>
      </c>
      <c r="B22" s="54" t="s">
        <v>635</v>
      </c>
      <c r="C22" s="60" t="s">
        <v>619</v>
      </c>
      <c r="D22" s="54"/>
    </row>
    <row r="23" customFormat="false" ht="24" hidden="false" customHeight="true" outlineLevel="0" collapsed="false">
      <c r="A23" s="61" t="n">
        <v>17</v>
      </c>
      <c r="B23" s="54" t="s">
        <v>636</v>
      </c>
      <c r="C23" s="60" t="s">
        <v>619</v>
      </c>
      <c r="D23" s="54"/>
    </row>
    <row r="24" customFormat="false" ht="24" hidden="false" customHeight="true" outlineLevel="0" collapsed="false">
      <c r="A24" s="61" t="n">
        <v>18</v>
      </c>
      <c r="B24" s="54" t="s">
        <v>637</v>
      </c>
      <c r="C24" s="60" t="s">
        <v>619</v>
      </c>
      <c r="D24" s="54"/>
    </row>
    <row r="25" customFormat="false" ht="24" hidden="false" customHeight="true" outlineLevel="0" collapsed="false">
      <c r="A25" s="61" t="n">
        <v>19</v>
      </c>
      <c r="B25" s="54" t="s">
        <v>638</v>
      </c>
      <c r="C25" s="60" t="s">
        <v>619</v>
      </c>
      <c r="D25" s="54"/>
    </row>
    <row r="26" customFormat="false" ht="24" hidden="false" customHeight="true" outlineLevel="0" collapsed="false">
      <c r="A26" s="61" t="n">
        <v>20</v>
      </c>
      <c r="B26" s="54" t="s">
        <v>639</v>
      </c>
      <c r="C26" s="60" t="s">
        <v>619</v>
      </c>
      <c r="D26" s="54"/>
    </row>
    <row r="27" customFormat="false" ht="24" hidden="false" customHeight="true" outlineLevel="0" collapsed="false">
      <c r="A27" s="61" t="n">
        <v>21</v>
      </c>
      <c r="B27" s="54" t="s">
        <v>640</v>
      </c>
      <c r="C27" s="60" t="s">
        <v>619</v>
      </c>
      <c r="D27" s="54"/>
    </row>
    <row r="28" customFormat="false" ht="24" hidden="false" customHeight="true" outlineLevel="0" collapsed="false">
      <c r="A28" s="61" t="n">
        <v>22</v>
      </c>
      <c r="B28" s="54" t="s">
        <v>641</v>
      </c>
      <c r="C28" s="60" t="s">
        <v>619</v>
      </c>
      <c r="D28" s="54"/>
    </row>
    <row r="29" customFormat="false" ht="24" hidden="false" customHeight="true" outlineLevel="0" collapsed="false">
      <c r="A29" s="61" t="n">
        <v>23</v>
      </c>
      <c r="B29" s="54" t="s">
        <v>642</v>
      </c>
      <c r="C29" s="60" t="s">
        <v>619</v>
      </c>
      <c r="D29" s="54"/>
    </row>
    <row r="30" customFormat="false" ht="24" hidden="false" customHeight="true" outlineLevel="0" collapsed="false">
      <c r="A30" s="61" t="n">
        <v>24</v>
      </c>
      <c r="B30" s="54" t="s">
        <v>643</v>
      </c>
      <c r="C30" s="60" t="s">
        <v>619</v>
      </c>
      <c r="D30" s="54"/>
    </row>
    <row r="31" customFormat="false" ht="24" hidden="false" customHeight="true" outlineLevel="0" collapsed="false">
      <c r="A31" s="61" t="n">
        <v>25</v>
      </c>
      <c r="B31" s="54" t="s">
        <v>644</v>
      </c>
      <c r="C31" s="60" t="s">
        <v>619</v>
      </c>
      <c r="D31" s="54"/>
    </row>
    <row r="32" customFormat="false" ht="21.75" hidden="false" customHeight="true" outlineLevel="0" collapsed="false">
      <c r="A32" s="62"/>
      <c r="B32" s="55" t="s">
        <v>645</v>
      </c>
      <c r="C32" s="55"/>
      <c r="D32" s="55"/>
    </row>
    <row r="33" customFormat="false" ht="24" hidden="false" customHeight="true" outlineLevel="0" collapsed="false">
      <c r="A33" s="61" t="n">
        <v>26</v>
      </c>
      <c r="B33" s="54" t="s">
        <v>646</v>
      </c>
      <c r="C33" s="60" t="s">
        <v>619</v>
      </c>
      <c r="D33" s="54"/>
    </row>
    <row r="34" customFormat="false" ht="24" hidden="false" customHeight="true" outlineLevel="0" collapsed="false">
      <c r="A34" s="61" t="n">
        <v>27</v>
      </c>
      <c r="B34" s="54" t="s">
        <v>647</v>
      </c>
      <c r="C34" s="60" t="s">
        <v>619</v>
      </c>
      <c r="D34" s="54"/>
    </row>
    <row r="35" customFormat="false" ht="24" hidden="false" customHeight="true" outlineLevel="0" collapsed="false">
      <c r="A35" s="61" t="n">
        <v>28</v>
      </c>
      <c r="B35" s="54" t="s">
        <v>648</v>
      </c>
      <c r="C35" s="60" t="s">
        <v>619</v>
      </c>
      <c r="D35" s="54"/>
    </row>
    <row r="36" customFormat="false" ht="24" hidden="false" customHeight="true" outlineLevel="0" collapsed="false">
      <c r="A36" s="61" t="n">
        <v>29</v>
      </c>
      <c r="B36" s="54" t="s">
        <v>649</v>
      </c>
      <c r="C36" s="60" t="s">
        <v>619</v>
      </c>
      <c r="D36" s="54"/>
    </row>
    <row r="37" customFormat="false" ht="24" hidden="false" customHeight="true" outlineLevel="0" collapsed="false">
      <c r="A37" s="61" t="n">
        <v>30</v>
      </c>
      <c r="B37" s="54" t="s">
        <v>650</v>
      </c>
      <c r="C37" s="60" t="s">
        <v>619</v>
      </c>
      <c r="D37" s="54"/>
    </row>
    <row r="38" customFormat="false" ht="24" hidden="false" customHeight="true" outlineLevel="0" collapsed="false">
      <c r="A38" s="61" t="n">
        <v>31</v>
      </c>
      <c r="B38" s="54" t="s">
        <v>651</v>
      </c>
      <c r="C38" s="60" t="s">
        <v>619</v>
      </c>
      <c r="D38" s="54"/>
    </row>
    <row r="39" customFormat="false" ht="24" hidden="false" customHeight="true" outlineLevel="0" collapsed="false">
      <c r="A39" s="61" t="n">
        <v>32</v>
      </c>
      <c r="B39" s="54" t="s">
        <v>652</v>
      </c>
      <c r="C39" s="60" t="s">
        <v>619</v>
      </c>
      <c r="D39" s="54"/>
    </row>
  </sheetData>
  <mergeCells count="5">
    <mergeCell ref="A1:D1"/>
    <mergeCell ref="A2:D2"/>
    <mergeCell ref="B5:D5"/>
    <mergeCell ref="B21:D21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2026-05-29T09:08:21Z</dcterms:created>
  <dc:creator>openpyxl</dc:creator>
  <dc:description/>
  <dc:language>en-US</dc:language>
  <cp:lastModifiedBy/>
  <dcterms:modified xsi:type="dcterms:W3CDTF">2026-05-29T09:08:21Z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